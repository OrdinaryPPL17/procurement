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6.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255" firstSheet="1"/>
  </bookViews>
  <sheets>
    <sheet sheetId="6" name="Sales Contract" state="visible" r:id="rId4"/>
    <sheet sheetId="4" name="Template_CI" state="visible" r:id="rId5"/>
    <sheet sheetId="3" name="Template_PL" state="visible" r:id="rId6"/>
    <sheet sheetId="7" name="报关单及申报要素" state="visible" r:id="rId7"/>
  </sheets>
  <definedNames>
    <definedName name="_xlnm._FilterDatabase">'报关单及申报要素'!$A$19:$P$31</definedName>
    <definedName name="_xlnm.Print_Area" localSheetId="0">'Sales Contract'!$A1:$F108</definedName>
    <definedName name="_xlnm.Print_Area" localSheetId="1">'Template_CI'!$A1:$F93</definedName>
    <definedName name="_xlnm.Print_Area" localSheetId="2">'Template_PL'!$A1:$G97</definedName>
  </definedNames>
  <calcPr calcId="171027"/>
</workbook>
</file>

<file path=xl/sharedStrings.xml><?xml version="1.0" encoding="utf-8"?>
<sst xmlns="http://schemas.openxmlformats.org/spreadsheetml/2006/main" count="286" uniqueCount="131">
  <si>
    <r>
      <rPr>
        <b/>
        <charset val="134"/>
        <color theme="1"/>
        <sz val="26"/>
        <rFont val="宋体"/>
      </rPr>
      <t>销售合同</t>
    </r>
    <r>
      <rPr>
        <b/>
        <charset val="134"/>
        <color theme="1"/>
        <sz val="26"/>
        <rFont val="Times New Roman"/>
      </rPr>
      <t xml:space="preserve">
SALES CONTRACT</t>
    </r>
  </si>
  <si>
    <r>
      <rPr>
        <charset val="134"/>
        <color theme="1"/>
        <sz val="12"/>
        <rFont val="宋体"/>
      </rPr>
      <t>合同号</t>
    </r>
    <r>
      <rPr>
        <charset val="134"/>
        <color theme="1"/>
        <sz val="12"/>
        <rFont val="Times New Roman"/>
      </rPr>
      <t xml:space="preserve">
Contract No.:</t>
    </r>
  </si>
  <si>
    <r>
      <rPr>
        <charset val="134"/>
        <color theme="1"/>
        <sz val="12"/>
        <rFont val="宋体"/>
      </rPr>
      <t>合同日期</t>
    </r>
    <r>
      <rPr>
        <charset val="134"/>
        <color theme="1"/>
        <sz val="12"/>
        <rFont val="Times New Roman"/>
      </rPr>
      <t xml:space="preserve">:
CONTRACT DATE:</t>
    </r>
  </si>
  <si>
    <r>
      <rPr>
        <b/>
        <charset val="134"/>
        <color theme="1"/>
        <sz val="12"/>
        <rFont val="宋体"/>
      </rPr>
      <t>卖方</t>
    </r>
    <r>
      <rPr>
        <b/>
        <charset val="134"/>
        <color theme="1"/>
        <sz val="12"/>
        <rFont val="Times New Roman"/>
      </rPr>
      <t xml:space="preserve"> 
SELLER:</t>
    </r>
  </si>
  <si>
    <r>
      <rPr>
        <charset val="134"/>
        <color theme="1"/>
        <sz val="12"/>
        <rFont val="宋体"/>
      </rPr>
      <t>北京鸿坤环宇贸易咨询有限责任公司</t>
    </r>
    <r>
      <rPr>
        <charset val="134"/>
        <color theme="1"/>
        <sz val="12"/>
        <rFont val="Times New Roman"/>
      </rPr>
      <t xml:space="preserve">
HK Global Trade Consulting LLC</t>
    </r>
  </si>
  <si>
    <r>
      <rPr>
        <b/>
        <charset val="134"/>
        <color theme="1"/>
        <sz val="12"/>
        <rFont val="宋体"/>
      </rPr>
      <t>地址</t>
    </r>
    <r>
      <rPr>
        <b/>
        <charset val="134"/>
        <color theme="1"/>
        <sz val="12"/>
        <rFont val="Times New Roman"/>
      </rPr>
      <t xml:space="preserve"> 
ADDRESS:</t>
    </r>
  </si>
  <si>
    <r>
      <rPr>
        <charset val="134"/>
        <color theme="1"/>
        <sz val="12"/>
        <rFont val="宋体"/>
      </rPr>
      <t>北京西城区西直门外大街</t>
    </r>
    <r>
      <rPr>
        <charset val="134"/>
        <color theme="1"/>
        <sz val="12"/>
        <rFont val="Times New Roman"/>
      </rPr>
      <t>18</t>
    </r>
    <r>
      <rPr>
        <charset val="134"/>
        <color theme="1"/>
        <sz val="12"/>
        <rFont val="宋体"/>
      </rPr>
      <t>号楼</t>
    </r>
    <r>
      <rPr>
        <charset val="134"/>
        <color theme="1"/>
        <sz val="12"/>
        <rFont val="Times New Roman"/>
      </rPr>
      <t>14</t>
    </r>
    <r>
      <rPr>
        <charset val="134"/>
        <color theme="1"/>
        <sz val="12"/>
        <rFont val="宋体"/>
      </rPr>
      <t>层</t>
    </r>
    <r>
      <rPr>
        <charset val="134"/>
        <color theme="1"/>
        <sz val="12"/>
        <rFont val="Times New Roman"/>
      </rPr>
      <t>1</t>
    </r>
    <r>
      <rPr>
        <charset val="134"/>
        <color theme="1"/>
        <sz val="12"/>
        <rFont val="宋体"/>
      </rPr>
      <t>单元</t>
    </r>
    <r>
      <rPr>
        <charset val="134"/>
        <color theme="1"/>
        <sz val="12"/>
        <rFont val="Times New Roman"/>
      </rPr>
      <t xml:space="preserve">
1708Add: No.18 Xizhimenwai Street 14th Floor Unit 1708,</t>
    </r>
  </si>
  <si>
    <t>Xicheng District, Beijing, China 100044</t>
  </si>
  <si>
    <r>
      <rPr>
        <b/>
        <charset val="134"/>
        <color theme="1"/>
        <sz val="12"/>
        <rFont val="宋体"/>
      </rPr>
      <t>买方</t>
    </r>
    <r>
      <rPr>
        <b/>
        <charset val="134"/>
        <color theme="1"/>
        <sz val="12"/>
        <rFont val="Times New Roman"/>
      </rPr>
      <t xml:space="preserve"> 
BUYER:</t>
    </r>
  </si>
  <si>
    <t>ATTN:</t>
  </si>
  <si>
    <t>TEL:</t>
  </si>
  <si>
    <r>
      <rPr>
        <charset val="134"/>
        <color theme="1"/>
        <sz val="12"/>
        <rFont val="宋体"/>
      </rPr>
      <t>买卖双方同意成交下列商品签订条款如下：</t>
    </r>
  </si>
  <si>
    <t>The undersigned Sellers and Buyers have agreed to close the following transactions according tothe terms and conditions stipulated below:</t>
  </si>
  <si>
    <t>NUMBER</t>
  </si>
  <si>
    <t>DESCRIPTION OF GOODS</t>
  </si>
  <si>
    <t>QUANTITY</t>
  </si>
  <si>
    <t>UNIT</t>
  </si>
  <si>
    <t>UNIT PRICE</t>
  </si>
  <si>
    <t>TOTAL AMOUNT</t>
  </si>
  <si>
    <r>
      <rPr>
        <charset val="134"/>
        <sz val="12"/>
        <rFont val="宋体"/>
      </rPr>
      <t>单价</t>
    </r>
    <r>
      <rPr>
        <charset val="134"/>
        <sz val="12"/>
        <rFont val="Times New Roman"/>
      </rPr>
      <t>RMB</t>
    </r>
  </si>
  <si>
    <t>总价RMB</t>
  </si>
  <si>
    <t>含税人民币汇总</t>
  </si>
  <si>
    <t>汇率</t>
  </si>
  <si>
    <t>请给出利润点</t>
  </si>
  <si>
    <r>
      <rPr>
        <charset val="134"/>
        <sz val="12"/>
        <rFont val="Times New Roman"/>
      </rPr>
      <t>FOB</t>
    </r>
    <r>
      <rPr>
        <charset val="134"/>
        <sz val="12"/>
        <rFont val="宋体"/>
      </rPr>
      <t>单价</t>
    </r>
    <r>
      <rPr>
        <charset val="134"/>
        <sz val="12"/>
        <rFont val="Times New Roman"/>
      </rPr>
      <t xml:space="preserve">
</t>
    </r>
    <r>
      <rPr>
        <charset val="134"/>
        <sz val="12"/>
        <rFont val="宋体"/>
      </rPr>
      <t>（报关单价</t>
    </r>
    <r>
      <rPr>
        <charset val="134"/>
        <sz val="12"/>
        <rFont val="Times New Roman"/>
      </rPr>
      <t>USD</t>
    </r>
    <r>
      <rPr>
        <charset val="134"/>
        <sz val="12"/>
        <rFont val="宋体"/>
      </rPr>
      <t>）</t>
    </r>
  </si>
  <si>
    <r>
      <rPr>
        <charset val="134"/>
        <sz val="12"/>
        <rFont val="Times New Roman"/>
      </rPr>
      <t>FOB</t>
    </r>
    <r>
      <rPr>
        <charset val="134"/>
        <sz val="12"/>
        <rFont val="宋体"/>
      </rPr>
      <t>总价</t>
    </r>
    <r>
      <rPr>
        <charset val="134"/>
        <sz val="12"/>
        <rFont val="Times New Roman"/>
      </rPr>
      <t xml:space="preserve">
</t>
    </r>
    <r>
      <rPr>
        <charset val="134"/>
        <sz val="12"/>
        <rFont val="宋体"/>
      </rPr>
      <t>（报关总价</t>
    </r>
    <r>
      <rPr>
        <charset val="134"/>
        <sz val="12"/>
        <rFont val="Times New Roman"/>
      </rPr>
      <t>USD</t>
    </r>
    <r>
      <rPr>
        <charset val="134"/>
        <sz val="12"/>
        <rFont val="宋体"/>
      </rPr>
      <t>）</t>
    </r>
  </si>
  <si>
    <t>TOTAL</t>
  </si>
  <si>
    <t>1. 付款条件</t>
  </si>
  <si>
    <r>
      <rPr>
        <b/>
        <charset val="134"/>
        <color theme="1"/>
        <sz val="12"/>
        <rFont val="Times New Roman"/>
      </rPr>
      <t>Payment Terms:</t>
    </r>
    <r>
      <rPr>
        <charset val="134"/>
        <color theme="1"/>
        <sz val="12"/>
        <rFont val="Times New Roman"/>
      </rPr>
      <t xml:space="preserve"> 100% payment by T/T.</t>
    </r>
  </si>
  <si>
    <t>江总说床垫款项先不付，暂时不算成本，先发货；</t>
  </si>
  <si>
    <t>2. 装运时间</t>
  </si>
  <si>
    <r>
      <rPr>
        <b/>
        <charset val="134"/>
        <color theme="1"/>
        <sz val="12"/>
        <rFont val="Times New Roman"/>
      </rPr>
      <t>Delivery Time:</t>
    </r>
    <r>
      <rPr>
        <charset val="134"/>
        <color theme="1"/>
        <sz val="12"/>
        <rFont val="Times New Roman"/>
      </rPr>
      <t xml:space="preserve"> Within 35-40 days after receive payment.</t>
    </r>
  </si>
  <si>
    <t>3. 装运口岸</t>
  </si>
  <si>
    <t>4. 目的港口</t>
  </si>
  <si>
    <t>此批次发货汇总</t>
  </si>
  <si>
    <t>5. 成交方式</t>
  </si>
  <si>
    <r>
      <rPr>
        <b/>
        <charset val="134"/>
        <sz val="12"/>
        <rFont val="Times New Roman"/>
      </rPr>
      <t>Trade Terms:</t>
    </r>
    <r>
      <rPr>
        <charset val="134"/>
        <sz val="12"/>
        <rFont val="Times New Roman"/>
      </rPr>
      <t xml:space="preserve"> FOB YANTIAN, CHINA</t>
    </r>
  </si>
  <si>
    <r>
      <rPr>
        <b/>
        <charset val="134"/>
        <color theme="1"/>
        <sz val="12"/>
        <rFont val="Times New Roman"/>
      </rPr>
      <t xml:space="preserve">6. </t>
    </r>
    <r>
      <rPr>
        <b/>
        <charset val="134"/>
        <color theme="1"/>
        <sz val="12"/>
        <rFont val="宋体"/>
      </rPr>
      <t>备注</t>
    </r>
  </si>
  <si>
    <r>
      <rPr>
        <b/>
        <charset val="134"/>
        <color theme="1"/>
        <sz val="12"/>
        <rFont val="Times New Roman"/>
      </rPr>
      <t>Remarks:</t>
    </r>
    <r>
      <rPr>
        <charset val="134"/>
        <color theme="1"/>
        <sz val="12"/>
        <rFont val="Times New Roman"/>
      </rPr>
      <t xml:space="preserve"> N/A</t>
    </r>
  </si>
  <si>
    <r>
      <rPr>
        <charset val="134"/>
        <color theme="1"/>
        <sz val="12"/>
        <rFont val="Times New Roman"/>
      </rPr>
      <t xml:space="preserve">(1) </t>
    </r>
    <r>
      <rPr>
        <charset val="134"/>
        <color theme="1"/>
        <sz val="12"/>
        <rFont val="宋体"/>
      </rPr>
      <t>品质数量异议</t>
    </r>
    <r>
      <rPr>
        <charset val="134"/>
        <color theme="1"/>
        <sz val="12"/>
        <rFont val="Times New Roman"/>
      </rPr>
      <t>:</t>
    </r>
    <r>
      <rPr>
        <charset val="134"/>
        <color theme="1"/>
        <sz val="12"/>
        <rFont val="宋体"/>
      </rPr>
      <t>如买方提出索赔</t>
    </r>
    <r>
      <rPr>
        <charset val="134"/>
        <color theme="1"/>
        <sz val="12"/>
        <rFont val="Times New Roman"/>
      </rPr>
      <t>,</t>
    </r>
    <r>
      <rPr>
        <charset val="134"/>
        <color theme="1"/>
        <sz val="12"/>
        <rFont val="宋体"/>
      </rPr>
      <t>凡属品质异议须于货到目的港口之日起三个月内提出</t>
    </r>
    <r>
      <rPr>
        <charset val="134"/>
        <color theme="1"/>
        <sz val="12"/>
        <rFont val="Times New Roman"/>
      </rPr>
      <t xml:space="preserve">; </t>
    </r>
    <r>
      <rPr>
        <charset val="134"/>
        <color theme="1"/>
        <sz val="12"/>
        <rFont val="宋体"/>
      </rPr>
      <t>凡属数量异议须于货到目的港口之日起一周内提出</t>
    </r>
    <r>
      <rPr>
        <charset val="134"/>
        <color theme="1"/>
        <sz val="12"/>
        <rFont val="Times New Roman"/>
      </rPr>
      <t xml:space="preserve">, </t>
    </r>
    <r>
      <rPr>
        <charset val="134"/>
        <color theme="1"/>
        <sz val="12"/>
        <rFont val="宋体"/>
      </rPr>
      <t>对所装运货物所提任何异议属于保险公司或轮船公司以及其他有关运输机构或邮递机构所负责者</t>
    </r>
    <r>
      <rPr>
        <charset val="134"/>
        <color theme="1"/>
        <sz val="12"/>
        <rFont val="Times New Roman"/>
      </rPr>
      <t xml:space="preserve">, </t>
    </r>
    <r>
      <rPr>
        <charset val="134"/>
        <color theme="1"/>
        <sz val="12"/>
        <rFont val="宋体"/>
      </rPr>
      <t>售方将不负任何责任</t>
    </r>
    <r>
      <rPr>
        <charset val="134"/>
        <color theme="1"/>
        <sz val="12"/>
        <rFont val="Times New Roman"/>
      </rPr>
      <t xml:space="preserve">.
In case of quality discrepancy, claim should be filed by the buyers within 3 months after the arrival of the goods at the port of destination, while of quantity discrepancy, claim should be filed by the buyers within 7 days after the arrival of the goods at the port of destination. It is understood that the Sellers shall not be liable for any discrepancy of the goods shipped due to causes for which Insurance Company, Shipping Company, other transportation, organization or Post Office are liable.</t>
    </r>
  </si>
  <si>
    <t>总金额</t>
  </si>
  <si>
    <r>
      <rPr>
        <charset val="134"/>
        <color theme="1"/>
        <sz val="12"/>
        <rFont val="Times New Roman"/>
      </rPr>
      <t xml:space="preserve">(2) </t>
    </r>
    <r>
      <rPr>
        <charset val="134"/>
        <color theme="1"/>
        <sz val="12"/>
        <rFont val="宋体"/>
      </rPr>
      <t>本合同所述全部或部分商品</t>
    </r>
    <r>
      <rPr>
        <charset val="134"/>
        <color theme="1"/>
        <sz val="12"/>
        <rFont val="Times New Roman"/>
      </rPr>
      <t>,</t>
    </r>
    <r>
      <rPr>
        <charset val="134"/>
        <color theme="1"/>
        <sz val="12"/>
        <rFont val="宋体"/>
      </rPr>
      <t>如因人力不可抗拒的原因</t>
    </r>
    <r>
      <rPr>
        <charset val="134"/>
        <color theme="1"/>
        <sz val="12"/>
        <rFont val="Times New Roman"/>
      </rPr>
      <t>,</t>
    </r>
    <r>
      <rPr>
        <charset val="134"/>
        <color theme="1"/>
        <sz val="12"/>
        <rFont val="宋体"/>
      </rPr>
      <t>以致不能履约或延迟交货</t>
    </r>
    <r>
      <rPr>
        <charset val="134"/>
        <color theme="1"/>
        <sz val="12"/>
        <rFont val="Times New Roman"/>
      </rPr>
      <t>,</t>
    </r>
    <r>
      <rPr>
        <charset val="134"/>
        <color theme="1"/>
        <sz val="12"/>
        <rFont val="宋体"/>
      </rPr>
      <t>售方</t>
    </r>
    <r>
      <rPr>
        <charset val="134"/>
        <color theme="1"/>
        <sz val="12"/>
        <rFont val="Times New Roman"/>
      </rPr>
      <t xml:space="preserve"> </t>
    </r>
    <r>
      <rPr>
        <charset val="134"/>
        <color theme="1"/>
        <sz val="12"/>
        <rFont val="宋体"/>
      </rPr>
      <t>概不负责</t>
    </r>
    <r>
      <rPr>
        <charset val="134"/>
        <color theme="1"/>
        <sz val="12"/>
        <rFont val="Times New Roman"/>
      </rPr>
      <t xml:space="preserve">.
The Sellers shall not be held liable for failure or delay in delivery of the entire lot or a portion of the goods under this Sales Contract on consequence ofany Force Major incidents.</t>
    </r>
  </si>
  <si>
    <t>床垫总金额</t>
  </si>
  <si>
    <r>
      <t>30%</t>
    </r>
    <r>
      <rPr>
        <charset val="134"/>
        <color theme="1"/>
        <sz val="12"/>
        <rFont val="宋体"/>
      </rPr>
      <t>预付款</t>
    </r>
  </si>
  <si>
    <r>
      <rPr>
        <charset val="134"/>
        <color theme="1"/>
        <sz val="12"/>
        <rFont val="Times New Roman"/>
      </rPr>
      <t xml:space="preserve">(3) </t>
    </r>
    <r>
      <rPr>
        <charset val="134"/>
        <color theme="1"/>
        <sz val="12"/>
        <rFont val="宋体"/>
      </rPr>
      <t>仲裁</t>
    </r>
    <r>
      <rPr>
        <charset val="134"/>
        <color theme="1"/>
        <sz val="12"/>
        <rFont val="Times New Roman"/>
      </rPr>
      <t xml:space="preserve">: </t>
    </r>
    <r>
      <rPr>
        <charset val="134"/>
        <color theme="1"/>
        <sz val="12"/>
        <rFont val="宋体"/>
      </rPr>
      <t>凡因执行本合同或于本合同有关事项所发生的一切争执</t>
    </r>
    <r>
      <rPr>
        <charset val="134"/>
        <color theme="1"/>
        <sz val="12"/>
        <rFont val="Times New Roman"/>
      </rPr>
      <t>,</t>
    </r>
    <r>
      <rPr>
        <charset val="134"/>
        <color theme="1"/>
        <sz val="12"/>
        <rFont val="宋体"/>
      </rPr>
      <t>应由双方通过友好协商解决</t>
    </r>
    <r>
      <rPr>
        <charset val="134"/>
        <color theme="1"/>
        <sz val="12"/>
        <rFont val="Times New Roman"/>
      </rPr>
      <t xml:space="preserve">. </t>
    </r>
    <r>
      <rPr>
        <charset val="134"/>
        <color theme="1"/>
        <sz val="12"/>
        <rFont val="宋体"/>
      </rPr>
      <t>如果不能协商解决时</t>
    </r>
    <r>
      <rPr>
        <charset val="134"/>
        <color theme="1"/>
        <sz val="12"/>
        <rFont val="Times New Roman"/>
      </rPr>
      <t xml:space="preserve">, </t>
    </r>
    <r>
      <rPr>
        <charset val="134"/>
        <color theme="1"/>
        <sz val="12"/>
        <rFont val="宋体"/>
      </rPr>
      <t>则在被告国家根据被告仲裁机构的仲裁程序规则进行仲裁</t>
    </r>
    <r>
      <rPr>
        <charset val="134"/>
        <color theme="1"/>
        <sz val="12"/>
        <rFont val="Times New Roman"/>
      </rPr>
      <t>.</t>
    </r>
    <r>
      <rPr>
        <charset val="134"/>
        <color theme="1"/>
        <sz val="12"/>
        <rFont val="宋体"/>
      </rPr>
      <t>仲裁决定是终局的</t>
    </r>
    <r>
      <rPr>
        <charset val="134"/>
        <color theme="1"/>
        <sz val="12"/>
        <rFont val="Times New Roman"/>
      </rPr>
      <t>,</t>
    </r>
    <r>
      <rPr>
        <charset val="134"/>
        <color theme="1"/>
        <sz val="12"/>
        <rFont val="宋体"/>
      </rPr>
      <t>对双方具有同等的约束力</t>
    </r>
    <r>
      <rPr>
        <charset val="134"/>
        <color theme="1"/>
        <sz val="12"/>
        <rFont val="Times New Roman"/>
      </rPr>
      <t>.</t>
    </r>
    <r>
      <rPr>
        <charset val="134"/>
        <color theme="1"/>
        <sz val="12"/>
        <rFont val="宋体"/>
      </rPr>
      <t>仲裁费用除非仲裁机构另有决定外</t>
    </r>
    <r>
      <rPr>
        <charset val="134"/>
        <color theme="1"/>
        <sz val="12"/>
        <rFont val="Times New Roman"/>
      </rPr>
      <t xml:space="preserve">, </t>
    </r>
    <r>
      <rPr>
        <charset val="134"/>
        <color theme="1"/>
        <sz val="12"/>
        <rFont val="宋体"/>
      </rPr>
      <t>均由败诉一方负担</t>
    </r>
    <r>
      <rPr>
        <charset val="134"/>
        <color theme="1"/>
        <sz val="12"/>
        <rFont val="Times New Roman"/>
      </rPr>
      <t xml:space="preserve">.
Arbitration: All disputes in connection with this Contract or the execution thereof shall be settled by negotiation between two parties. If no settlement can be reached, the case in dispute shall then be submitted for arbitration in the country of defendant in accordance with the arbitration regulation of the arbitration organization of the defendant country. The decision made by the arbitration organization shall be taken as final and binding upon both parties. The arbitration expenses shall be borne by the losing party unless otherwise awarded by the arbitration.</t>
    </r>
  </si>
  <si>
    <t>沙发尾款</t>
  </si>
  <si>
    <t>尾款</t>
  </si>
  <si>
    <r>
      <rPr>
        <charset val="134"/>
        <color theme="1"/>
        <sz val="12"/>
        <rFont val="Times New Roman"/>
      </rPr>
      <t xml:space="preserve">(4) </t>
    </r>
    <r>
      <rPr>
        <charset val="134"/>
        <color theme="1"/>
        <sz val="12"/>
        <rFont val="宋体"/>
      </rPr>
      <t>买方收到本合同后立即签字盖章确认</t>
    </r>
    <r>
      <rPr>
        <charset val="134"/>
        <color theme="1"/>
        <sz val="12"/>
        <rFont val="Times New Roman"/>
      </rPr>
      <t>,</t>
    </r>
    <r>
      <rPr>
        <charset val="134"/>
        <color theme="1"/>
        <sz val="12"/>
        <rFont val="宋体"/>
      </rPr>
      <t>如买方对本合同有异议</t>
    </r>
    <r>
      <rPr>
        <charset val="134"/>
        <color theme="1"/>
        <sz val="12"/>
        <rFont val="Times New Roman"/>
      </rPr>
      <t>,</t>
    </r>
    <r>
      <rPr>
        <charset val="134"/>
        <color theme="1"/>
        <sz val="12"/>
        <rFont val="宋体"/>
      </rPr>
      <t>应于收到后一个工作日提出</t>
    </r>
    <r>
      <rPr>
        <charset val="134"/>
        <color theme="1"/>
        <sz val="12"/>
        <rFont val="Times New Roman"/>
      </rPr>
      <t xml:space="preserve">, </t>
    </r>
    <r>
      <rPr>
        <charset val="134"/>
        <color theme="1"/>
        <sz val="12"/>
        <rFont val="宋体"/>
      </rPr>
      <t>否则卖方认为买方已同意本合同所规定的各项条款</t>
    </r>
    <r>
      <rPr>
        <charset val="134"/>
        <color theme="1"/>
        <sz val="12"/>
        <rFont val="Times New Roman"/>
      </rPr>
      <t xml:space="preserve">.
The buyers are requested to sign and stamp on it and return one copy of this Sales Contract immediately after receipt of the same. Objection, if any, should be raise by the Buyers within one working day after the receipt of this Sales Contract, in the absence of which it is understood that the Buyers have accepted the terms and conditions ofthe Sales Contract.</t>
    </r>
  </si>
  <si>
    <r>
      <rPr>
        <b/>
        <charset val="134"/>
        <color theme="1"/>
        <sz val="12"/>
        <rFont val="宋体"/>
      </rPr>
      <t>卖方</t>
    </r>
    <r>
      <rPr>
        <b/>
        <charset val="134"/>
        <color theme="1"/>
        <sz val="12"/>
        <rFont val="Times New Roman"/>
      </rPr>
      <t xml:space="preserve">:
The Seller</t>
    </r>
  </si>
  <si>
    <r>
      <rPr>
        <b/>
        <charset val="134"/>
        <color theme="1"/>
        <sz val="12"/>
        <rFont val="宋体"/>
      </rPr>
      <t>买方</t>
    </r>
    <r>
      <rPr>
        <b/>
        <charset val="134"/>
        <color theme="1"/>
        <sz val="12"/>
        <rFont val="Times New Roman"/>
      </rPr>
      <t xml:space="preserve">:
The Buyer</t>
    </r>
  </si>
  <si>
    <t>HK GLOBAL TRADE CONSULTING LLC</t>
  </si>
  <si>
    <t>北京鸿坤环宇贸易咨询有限责任公司</t>
  </si>
  <si>
    <t>No.18 Xizhimenwai Street 14th Floor Unit 1708,</t>
  </si>
  <si>
    <r>
      <rPr>
        <charset val="134"/>
        <sz val="12"/>
        <rFont val="宋体"/>
      </rPr>
      <t>北京西城区西直门外大街</t>
    </r>
    <r>
      <rPr>
        <charset val="134"/>
        <sz val="12"/>
        <rFont val="Times New Roman"/>
      </rPr>
      <t>18</t>
    </r>
    <r>
      <rPr>
        <charset val="134"/>
        <sz val="12"/>
        <rFont val="宋体"/>
      </rPr>
      <t>号楼</t>
    </r>
    <r>
      <rPr>
        <charset val="134"/>
        <sz val="12"/>
        <rFont val="Times New Roman"/>
      </rPr>
      <t>14</t>
    </r>
    <r>
      <rPr>
        <charset val="134"/>
        <sz val="12"/>
        <rFont val="宋体"/>
      </rPr>
      <t>层</t>
    </r>
    <r>
      <rPr>
        <charset val="134"/>
        <sz val="12"/>
        <rFont val="Times New Roman"/>
      </rPr>
      <t>1</t>
    </r>
    <r>
      <rPr>
        <charset val="134"/>
        <sz val="12"/>
        <rFont val="宋体"/>
      </rPr>
      <t>单元</t>
    </r>
  </si>
  <si>
    <t>TEL: 010-6225-8188</t>
  </si>
  <si>
    <t>www.hongkunglobal.com</t>
  </si>
  <si>
    <t>COMMERCIAL INVOICE</t>
  </si>
  <si>
    <t>BUYER:</t>
  </si>
  <si>
    <t>INV#:</t>
  </si>
  <si>
    <t>ADD:</t>
  </si>
  <si>
    <t>Room 101A, 1/F., GenplasIndustrial Building, 56 Hoi YuenRoad,</t>
  </si>
  <si>
    <t>DATE:</t>
  </si>
  <si>
    <t>Kwun Tong, HONG KONG</t>
  </si>
  <si>
    <t>Zhao Haoyuan</t>
  </si>
  <si>
    <t>+852 3050 1949</t>
  </si>
  <si>
    <t>No.18 Xizhimenwai Street 14th Floor Unit 1708, Xicheng District, Beijing, China 100044</t>
  </si>
  <si>
    <t>PACKING LIST</t>
  </si>
  <si>
    <t>COMPANY:</t>
  </si>
  <si>
    <t xml:space="preserve">QUANTITY
(UNIT)</t>
  </si>
  <si>
    <t>PACKAGES</t>
  </si>
  <si>
    <t xml:space="preserve">G/W
(KG)</t>
  </si>
  <si>
    <t xml:space="preserve">N/W
(KG)</t>
  </si>
  <si>
    <t xml:space="preserve">VOLUME
(CBM)</t>
  </si>
  <si>
    <r>
      <rPr>
        <u/>
        <charset val="134"/>
        <sz val="10"/>
        <rFont val="黑体"/>
      </rPr>
      <t>中华人民共和国海关出口货物报关单</t>
    </r>
  </si>
  <si>
    <r>
      <rPr>
        <charset val="134"/>
        <sz val="10"/>
        <rFont val="宋体"/>
      </rPr>
      <t>预录入编号：</t>
    </r>
  </si>
  <si>
    <r>
      <rPr>
        <charset val="134"/>
        <sz val="10"/>
        <rFont val="宋体"/>
      </rPr>
      <t>海关编号：</t>
    </r>
  </si>
  <si>
    <r>
      <rPr>
        <charset val="134"/>
        <sz val="10"/>
        <rFont val="宋体"/>
      </rPr>
      <t>（</t>
    </r>
    <r>
      <rPr>
        <charset val="134"/>
        <sz val="10"/>
        <rFont val="Calibri"/>
      </rPr>
      <t>XX</t>
    </r>
    <r>
      <rPr>
        <charset val="134"/>
        <sz val="10"/>
        <rFont val="宋体"/>
      </rPr>
      <t>海关）</t>
    </r>
  </si>
  <si>
    <r>
      <rPr>
        <charset val="134"/>
        <sz val="10"/>
        <rFont val="宋体"/>
      </rPr>
      <t>页码</t>
    </r>
    <r>
      <rPr>
        <charset val="134"/>
        <sz val="10"/>
        <rFont val="Calibri"/>
      </rPr>
      <t>/</t>
    </r>
    <r>
      <rPr>
        <charset val="134"/>
        <sz val="10"/>
        <rFont val="宋体"/>
      </rPr>
      <t>页数</t>
    </r>
    <r>
      <rPr>
        <charset val="134"/>
        <sz val="10"/>
        <rFont val="Calibri"/>
      </rPr>
      <t>:</t>
    </r>
  </si>
  <si>
    <r>
      <rPr>
        <charset val="134"/>
        <sz val="10"/>
        <rFont val="宋体"/>
      </rPr>
      <t>境内发货人</t>
    </r>
  </si>
  <si>
    <r>
      <rPr>
        <charset val="134"/>
        <sz val="10"/>
        <rFont val="宋体"/>
      </rPr>
      <t>出境关别</t>
    </r>
  </si>
  <si>
    <r>
      <rPr>
        <charset val="134"/>
        <sz val="10"/>
        <rFont val="宋体"/>
      </rPr>
      <t>出口日期</t>
    </r>
  </si>
  <si>
    <r>
      <rPr>
        <charset val="134"/>
        <sz val="10"/>
        <rFont val="宋体"/>
      </rPr>
      <t>申报日期</t>
    </r>
  </si>
  <si>
    <r>
      <rPr>
        <charset val="134"/>
        <sz val="10"/>
        <rFont val="宋体"/>
      </rPr>
      <t>备案号</t>
    </r>
  </si>
  <si>
    <r>
      <rPr>
        <charset val="134"/>
        <sz val="10"/>
        <rFont val="宋体"/>
      </rPr>
      <t>北京鸿坤环宇贸易咨询有限责任公司</t>
    </r>
  </si>
  <si>
    <r>
      <rPr>
        <charset val="134"/>
        <sz val="10"/>
        <rFont val="宋体"/>
      </rPr>
      <t>境外收货人</t>
    </r>
  </si>
  <si>
    <r>
      <rPr>
        <charset val="134"/>
        <sz val="10"/>
        <rFont val="宋体"/>
      </rPr>
      <t>运输方式</t>
    </r>
  </si>
  <si>
    <r>
      <rPr>
        <charset val="134"/>
        <sz val="10"/>
        <rFont val="宋体"/>
      </rPr>
      <t>运输工具名称及航次号</t>
    </r>
  </si>
  <si>
    <r>
      <rPr>
        <charset val="134"/>
        <sz val="10"/>
        <rFont val="宋体"/>
      </rPr>
      <t>提运单号</t>
    </r>
  </si>
  <si>
    <r>
      <rPr>
        <charset val="134"/>
        <sz val="10"/>
        <rFont val="宋体"/>
      </rPr>
      <t>水路运输</t>
    </r>
  </si>
  <si>
    <r>
      <rPr>
        <charset val="134"/>
        <sz val="10"/>
        <rFont val="宋体"/>
      </rPr>
      <t>生产销售单位</t>
    </r>
  </si>
  <si>
    <r>
      <rPr>
        <charset val="134"/>
        <sz val="10"/>
        <rFont val="宋体"/>
      </rPr>
      <t>监管方式</t>
    </r>
  </si>
  <si>
    <r>
      <rPr>
        <charset val="134"/>
        <sz val="10"/>
        <rFont val="宋体"/>
      </rPr>
      <t>征免性质</t>
    </r>
  </si>
  <si>
    <r>
      <rPr>
        <charset val="134"/>
        <sz val="10"/>
        <rFont val="宋体"/>
      </rPr>
      <t>许可证号</t>
    </r>
  </si>
  <si>
    <r>
      <rPr>
        <charset val="134"/>
        <sz val="10"/>
        <rFont val="宋体"/>
      </rPr>
      <t>一般贸易</t>
    </r>
  </si>
  <si>
    <r>
      <rPr>
        <charset val="134"/>
        <sz val="10"/>
        <rFont val="宋体"/>
      </rPr>
      <t>一般征税</t>
    </r>
  </si>
  <si>
    <r>
      <rPr>
        <charset val="134"/>
        <sz val="10"/>
        <rFont val="宋体"/>
      </rPr>
      <t>合同协议号</t>
    </r>
  </si>
  <si>
    <r>
      <rPr>
        <charset val="134"/>
        <sz val="10"/>
        <rFont val="宋体"/>
      </rPr>
      <t>贸易国（地区）</t>
    </r>
  </si>
  <si>
    <r>
      <rPr>
        <charset val="134"/>
        <sz val="10"/>
        <rFont val="宋体"/>
      </rPr>
      <t>运抵国（地区）</t>
    </r>
  </si>
  <si>
    <r>
      <rPr>
        <charset val="134"/>
        <sz val="10"/>
        <rFont val="宋体"/>
      </rPr>
      <t>指运港</t>
    </r>
  </si>
  <si>
    <r>
      <rPr>
        <charset val="134"/>
        <sz val="10"/>
        <rFont val="宋体"/>
      </rPr>
      <t>离境口岸</t>
    </r>
  </si>
  <si>
    <r>
      <rPr>
        <charset val="134"/>
        <sz val="10"/>
        <rFont val="宋体"/>
      </rPr>
      <t>包装种类</t>
    </r>
  </si>
  <si>
    <r>
      <rPr>
        <charset val="134"/>
        <sz val="10"/>
        <rFont val="宋体"/>
      </rPr>
      <t>件数</t>
    </r>
  </si>
  <si>
    <r>
      <rPr>
        <charset val="134"/>
        <sz val="10"/>
        <rFont val="宋体"/>
      </rPr>
      <t>毛重（千克）</t>
    </r>
  </si>
  <si>
    <r>
      <rPr>
        <charset val="134"/>
        <sz val="10"/>
        <rFont val="宋体"/>
      </rPr>
      <t>净重（千克）</t>
    </r>
  </si>
  <si>
    <r>
      <rPr>
        <charset val="134"/>
        <sz val="10"/>
        <rFont val="宋体"/>
      </rPr>
      <t>成交方式</t>
    </r>
  </si>
  <si>
    <r>
      <rPr>
        <charset val="134"/>
        <sz val="10"/>
        <rFont val="宋体"/>
      </rPr>
      <t>运费</t>
    </r>
  </si>
  <si>
    <r>
      <rPr>
        <charset val="134"/>
        <sz val="10"/>
        <rFont val="宋体"/>
      </rPr>
      <t>保费</t>
    </r>
  </si>
  <si>
    <r>
      <rPr>
        <charset val="134"/>
        <sz val="10"/>
        <rFont val="宋体"/>
      </rPr>
      <t>杂费</t>
    </r>
  </si>
  <si>
    <r>
      <rPr>
        <charset val="134"/>
        <sz val="10"/>
        <rFont val="宋体"/>
      </rPr>
      <t>其他包装</t>
    </r>
    <r>
      <rPr>
        <charset val="134"/>
        <sz val="10"/>
        <rFont val="Calibri"/>
      </rPr>
      <t xml:space="preserve">   99</t>
    </r>
  </si>
  <si>
    <t>FOB</t>
  </si>
  <si>
    <r>
      <rPr>
        <charset val="134"/>
        <sz val="10"/>
        <rFont val="宋体"/>
      </rPr>
      <t>随附单证及编号</t>
    </r>
  </si>
  <si>
    <r>
      <rPr>
        <charset val="134"/>
        <sz val="10"/>
        <rFont val="宋体"/>
      </rPr>
      <t>标记唛码及备注</t>
    </r>
  </si>
  <si>
    <r>
      <rPr>
        <charset val="134"/>
        <sz val="10"/>
        <rFont val="宋体"/>
      </rPr>
      <t>项号</t>
    </r>
  </si>
  <si>
    <r>
      <rPr>
        <charset val="134"/>
        <sz val="10"/>
        <rFont val="宋体"/>
      </rPr>
      <t>商品编号</t>
    </r>
  </si>
  <si>
    <r>
      <rPr>
        <charset val="134"/>
        <sz val="10"/>
        <rFont val="宋体"/>
      </rPr>
      <t>商品名称及规格型号</t>
    </r>
  </si>
  <si>
    <r>
      <rPr>
        <charset val="134"/>
        <sz val="10"/>
        <rFont val="宋体"/>
      </rPr>
      <t>数量及单位</t>
    </r>
  </si>
  <si>
    <r>
      <rPr>
        <charset val="134"/>
        <sz val="10"/>
        <rFont val="宋体"/>
      </rPr>
      <t>单价</t>
    </r>
    <r>
      <rPr>
        <charset val="134"/>
        <sz val="10"/>
        <rFont val="Calibri"/>
      </rPr>
      <t>/</t>
    </r>
    <r>
      <rPr>
        <charset val="134"/>
        <sz val="10"/>
        <rFont val="宋体"/>
      </rPr>
      <t>总价</t>
    </r>
    <r>
      <rPr>
        <charset val="134"/>
        <sz val="10"/>
        <rFont val="Calibri"/>
      </rPr>
      <t>/</t>
    </r>
    <r>
      <rPr>
        <charset val="134"/>
        <sz val="10"/>
        <rFont val="宋体"/>
      </rPr>
      <t>币制</t>
    </r>
  </si>
  <si>
    <r>
      <rPr>
        <charset val="134"/>
        <sz val="10"/>
        <rFont val="宋体"/>
      </rPr>
      <t>原产国</t>
    </r>
    <r>
      <rPr>
        <charset val="134"/>
        <sz val="10"/>
        <rFont val="Calibri"/>
      </rPr>
      <t xml:space="preserve">
</t>
    </r>
    <r>
      <rPr>
        <charset val="134"/>
        <sz val="10"/>
        <rFont val="宋体"/>
      </rPr>
      <t>（地区）</t>
    </r>
  </si>
  <si>
    <r>
      <rPr>
        <charset val="134"/>
        <sz val="10"/>
        <rFont val="宋体"/>
      </rPr>
      <t>最终目的国</t>
    </r>
    <r>
      <rPr>
        <charset val="134"/>
        <sz val="10"/>
        <rFont val="Calibri"/>
      </rPr>
      <t xml:space="preserve">
</t>
    </r>
    <r>
      <rPr>
        <charset val="134"/>
        <sz val="10"/>
        <rFont val="宋体"/>
      </rPr>
      <t>（地区）</t>
    </r>
  </si>
  <si>
    <r>
      <rPr>
        <charset val="134"/>
        <sz val="10"/>
        <rFont val="宋体"/>
      </rPr>
      <t>境内货源地</t>
    </r>
  </si>
  <si>
    <r>
      <rPr>
        <charset val="134"/>
        <sz val="10"/>
        <rFont val="宋体"/>
      </rPr>
      <t>征免</t>
    </r>
  </si>
  <si>
    <t>KG</t>
  </si>
  <si>
    <t>USD</t>
  </si>
  <si>
    <r>
      <rPr>
        <charset val="134"/>
        <sz val="10"/>
        <rFont val="宋体"/>
      </rPr>
      <t>报关人员</t>
    </r>
  </si>
  <si>
    <r>
      <rPr>
        <charset val="134"/>
        <sz val="10"/>
        <rFont val="宋体"/>
      </rPr>
      <t>电话</t>
    </r>
  </si>
  <si>
    <r>
      <rPr>
        <charset val="134"/>
        <sz val="10"/>
        <rFont val="宋体"/>
      </rPr>
      <t>兹声明以上内容承担如实申报、依法纳税之法律责任</t>
    </r>
  </si>
  <si>
    <r>
      <rPr>
        <charset val="134"/>
        <sz val="10"/>
        <rFont val="宋体"/>
      </rPr>
      <t>海关批注及签章</t>
    </r>
  </si>
  <si>
    <r>
      <rPr>
        <charset val="134"/>
        <sz val="10"/>
        <rFont val="宋体"/>
      </rPr>
      <t>申报单位</t>
    </r>
  </si>
  <si>
    <r>
      <rPr>
        <charset val="134"/>
        <sz val="10"/>
        <rFont val="宋体"/>
      </rPr>
      <t>申请单位</t>
    </r>
    <r>
      <rPr>
        <charset val="134"/>
        <sz val="10"/>
        <rFont val="Calibri"/>
      </rPr>
      <t>(</t>
    </r>
    <r>
      <rPr>
        <charset val="134"/>
        <sz val="10"/>
        <rFont val="宋体"/>
      </rPr>
      <t>签章</t>
    </r>
    <r>
      <rPr>
        <charset val="134"/>
        <sz val="10"/>
        <rFont val="Calibri"/>
      </rPr>
      <t>)</t>
    </r>
  </si>
  <si>
    <t>品名</t>
  </si>
  <si>
    <t>申报要素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</si>
</sst>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quot;$&quot;* #,##0.00_);_(&quot;$&quot;* (#,##0.00);_(&quot;$&quot;* &quot;-&quot;??_);_(@_)"/>
    <numFmt numFmtId="165" formatCode="[$-409]dd-mmm-yy;@"/>
    <numFmt numFmtId="166" formatCode="_ * #,##0.00_ ;_ * -#,##0.00_ ;_ * &quot;-&quot;??_ ;_ @_ "/>
    <numFmt numFmtId="167" formatCode="#,##0_ "/>
    <numFmt numFmtId="168" formatCode="#,##0.00_ "/>
    <numFmt numFmtId="169" formatCode="$#,##0.00;-$#,##0.00"/>
    <numFmt numFmtId="170" formatCode="#,##0.0000_ "/>
    <numFmt numFmtId="171" formatCode="&quot;￥&quot;#,##0.00;&quot;￥&quot;-#,##0.00"/>
    <numFmt numFmtId="172" formatCode="0.00_ "/>
    <numFmt numFmtId="173" formatCode="0_ "/>
    <numFmt numFmtId="174" formatCode="0.000_ "/>
  </numFmts>
  <fonts count="39" x14ac:knownFonts="1">
    <font>
      <color theme="1"/>
      <family val="2"/>
      <scheme val="minor"/>
      <sz val="11"/>
      <name val="Calibri"/>
    </font>
    <font>
      <charset val="134"/>
      <color theme="1"/>
      <sz val="12"/>
      <name val="Times New Roman"/>
    </font>
    <font>
      <charset val="134"/>
      <color theme="1"/>
      <sz val="12"/>
      <name val="Helvetica"/>
    </font>
    <font>
      <b/>
      <charset val="134"/>
      <color theme="1"/>
      <sz val="26"/>
      <name val="宋体"/>
    </font>
    <font>
      <charset val="134"/>
      <color theme="1"/>
      <sz val="12"/>
      <name val="宋体"/>
    </font>
    <font>
      <charset val="134"/>
      <sz val="12"/>
      <name val="Times New Roman"/>
    </font>
    <font>
      <b/>
      <charset val="134"/>
      <color theme="1"/>
      <sz val="12"/>
      <name val="Times New Roman"/>
    </font>
    <font>
      <b/>
      <charset val="134"/>
      <color theme="1"/>
      <sz val="12"/>
      <name val="宋体"/>
    </font>
    <font>
      <charset val="134"/>
      <sz val="10"/>
      <name val="Trebuchet MS"/>
    </font>
    <font>
      <b/>
      <charset val="134"/>
      <sz val="12"/>
      <name val="Times New Roman"/>
    </font>
    <font>
      <charset val="134"/>
      <sz val="12"/>
      <name val="宋体"/>
    </font>
    <font>
      <charset val="134"/>
      <color rgb="FFFF0000"/>
      <sz val="12"/>
      <name val="宋体"/>
    </font>
    <font>
      <charset val="134"/>
      <color rgb="FFFF0000"/>
      <sz val="12"/>
      <name val="Times New Roman"/>
    </font>
    <font>
      <charset val="134"/>
      <sz val="11"/>
      <name val="Times New Roman"/>
    </font>
    <font>
      <charset val="134"/>
      <color theme="1"/>
      <sz val="11"/>
      <name val="Times New Roman"/>
    </font>
    <font>
      <charset val="134"/>
      <color theme="1"/>
      <sz val="10"/>
      <name val="Times New Roman"/>
    </font>
    <font>
      <charset val="134"/>
      <sz val="10"/>
      <name val="Times New Roman"/>
    </font>
    <font>
      <charset val="134"/>
      <color rgb="FFFF0000"/>
      <sz val="10"/>
      <name val="宋体"/>
    </font>
    <font>
      <charset val="134"/>
      <color rgb="FFFF0000"/>
      <sz val="10"/>
      <name val="Times New Roman"/>
    </font>
    <font>
      <charset val="134"/>
      <color rgb="FF0070C0"/>
      <sz val="10"/>
      <name val="宋体"/>
    </font>
    <font>
      <charset val="134"/>
      <color rgb="FF0070C0"/>
      <sz val="10"/>
      <name val="Times New Roman"/>
    </font>
    <font>
      <b/>
      <charset val="134"/>
      <sz val="22"/>
      <name val="Times New Roman"/>
    </font>
    <font>
      <b/>
      <charset val="134"/>
      <sz val="22"/>
      <name val="宋体"/>
    </font>
    <font>
      <u/>
      <charset val="134"/>
      <color indexed="12"/>
      <sz val="12"/>
      <name val="Times New Roman"/>
    </font>
    <font>
      <b/>
      <charset val="134"/>
      <sz val="18"/>
      <name val="Times New Roman"/>
    </font>
    <font>
      <b/>
      <charset val="134"/>
      <sz val="16"/>
      <name val="Times New Roman"/>
    </font>
    <font>
      <charset val="134"/>
      <color theme="1"/>
      <sz val="10"/>
      <name val="Calibri"/>
    </font>
    <font>
      <charset val="134"/>
      <color rgb="FFFF0000"/>
      <sz val="10"/>
      <name val="Calibri"/>
    </font>
    <font>
      <u/>
      <charset val="134"/>
      <sz val="10"/>
      <name val="Calibri"/>
    </font>
    <font>
      <charset val="134"/>
      <sz val="10"/>
      <name val="Calibri"/>
    </font>
    <font>
      <charset val="134"/>
      <sz val="10"/>
      <name val="宋体"/>
    </font>
    <font>
      <charset val="134"/>
      <color rgb="FFFF0000"/>
      <sz val="8"/>
      <name val="Calibri"/>
    </font>
    <font>
      <charset val="134"/>
      <color theme="1"/>
      <sz val="8"/>
      <name val="Calibri"/>
    </font>
    <font>
      <charset val="134"/>
      <sz val="8"/>
      <name val="Calibri"/>
    </font>
    <font>
      <charset val="134"/>
      <sz val="8"/>
      <name val="Times New Roman"/>
    </font>
    <font>
      <charset val="134"/>
      <sz val="8"/>
      <name val="宋体"/>
    </font>
    <font>
      <charset val="134"/>
      <color theme="1"/>
      <sz val="9"/>
      <name val="Calibri"/>
    </font>
    <font>
      <charset val="134"/>
      <color theme="1"/>
      <sz val="8"/>
      <name val="宋体"/>
    </font>
    <font>
      <charset val="134"/>
      <color theme="1"/>
      <scheme val="minor"/>
      <sz val="8"/>
      <name val="Trebuchet MS"/>
    </font>
  </fonts>
  <fills count="3">
    <fill>
      <patternFill patternType="none"/>
    </fill>
    <fill>
      <patternFill patternType="gray125"/>
    </fill>
    <fill>
      <patternFill patternType="solid">
        <fgColor rgb="FFFFFF00"/>
        <bgColor indexed="64"/>
      </patternFill>
    </fill>
  </fills>
  <borders count="33">
    <border>
      <left/>
      <right/>
      <top/>
      <bottom/>
      <diagonal/>
    </border>
    <border>
      <left style="thin"/>
      <right style="thin"/>
      <top style="thin"/>
      <bottom style="thin"/>
      <diagonal/>
    </border>
    <border>
      <left style="thin"/>
      <right style="thin"/>
      <top/>
      <bottom style="thin"/>
      <diagonal/>
    </border>
    <border>
      <left style="thin"/>
      <right/>
      <top style="thin"/>
      <bottom style="thin"/>
      <diagonal/>
    </border>
    <border>
      <left style="medium"/>
      <right/>
      <top style="medium"/>
      <bottom style="medium"/>
      <diagonal/>
    </border>
    <border>
      <left/>
      <right/>
      <top style="medium"/>
      <bottom style="mediu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thin"/>
      <right/>
      <top style="medium"/>
      <bottom/>
      <diagonal/>
    </border>
    <border>
      <left/>
      <right style="thin"/>
      <top style="medium"/>
      <bottom/>
      <diagonal/>
    </border>
    <border>
      <left style="medium"/>
      <right/>
      <top/>
      <bottom style="medium"/>
      <diagonal/>
    </border>
    <border>
      <left/>
      <right/>
      <top/>
      <bottom style="medium"/>
      <diagonal/>
    </border>
    <border>
      <left style="thin"/>
      <right/>
      <top/>
      <bottom/>
      <diagonal/>
    </border>
    <border>
      <left style="thin"/>
      <right/>
      <top/>
      <bottom style="medium"/>
      <diagonal/>
    </border>
    <border>
      <left/>
      <right style="thin"/>
      <top/>
      <bottom style="medium"/>
      <diagonal/>
    </border>
    <border>
      <left/>
      <right style="medium"/>
      <top/>
      <bottom style="medium"/>
      <diagonal/>
    </border>
    <border>
      <left/>
      <right style="thin"/>
      <top/>
      <bottom/>
      <diagonal/>
    </border>
    <border>
      <left style="medium"/>
      <right/>
      <top/>
      <bottom style="thin"/>
      <diagonal/>
    </border>
    <border>
      <left/>
      <right/>
      <top/>
      <bottom style="thin"/>
      <diagonal/>
    </border>
    <border>
      <left style="thin"/>
      <right/>
      <top/>
      <bottom style="thin"/>
      <diagonal/>
    </border>
    <border>
      <left/>
      <right style="thin"/>
      <top/>
      <bottom style="thin"/>
      <diagonal/>
    </border>
    <border>
      <left/>
      <right style="medium"/>
      <top/>
      <bottom style="thin"/>
      <diagonal/>
    </border>
    <border>
      <left style="medium"/>
      <right style="thin"/>
      <top style="thin"/>
      <bottom style="thin"/>
      <diagonal/>
    </border>
    <border>
      <left style="thin"/>
      <right style="medium"/>
      <top style="thin"/>
      <bottom style="thin"/>
      <diagonal/>
    </border>
    <border>
      <left style="medium"/>
      <right/>
      <top style="thin"/>
      <bottom style="medium"/>
      <diagonal/>
    </border>
    <border>
      <left style="thin"/>
      <right style="thin"/>
      <top style="thin"/>
      <bottom style="medium"/>
      <diagonal/>
    </border>
    <border>
      <left/>
      <right/>
      <top style="thin"/>
      <bottom style="medium"/>
      <diagonal/>
    </border>
    <border>
      <left style="thin"/>
      <right style="thin"/>
      <top style="medium"/>
      <bottom style="medium"/>
      <diagonal/>
    </border>
    <border>
      <left/>
      <right style="medium"/>
      <top style="medium"/>
      <bottom style="medium"/>
      <diagonal/>
    </border>
    <border>
      <left/>
      <right style="thin"/>
      <top style="medium"/>
      <bottom style="medium"/>
      <diagonal/>
    </border>
  </borders>
  <cellStyleXfs count="1">
    <xf numFmtId="0" fontId="0" fillId="0" borderId="0"/>
  </cellStyleXfs>
  <cellXfs count="18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center" vertical="top" wrapText="1"/>
    </xf>
    <xf numFmtId="0" fontId="1" fillId="0" borderId="0" xfId="0" applyFont="1" applyAlignment="1">
      <alignment horizontal="left" vertical="center"/>
    </xf>
    <xf numFmtId="0" fontId="4" fillId="0" borderId="0" xfId="0" applyFont="1" applyAlignment="1">
      <alignment horizontal="right" vertical="center" wrapText="1"/>
    </xf>
    <xf numFmtId="164" fontId="5" fillId="0" borderId="0" xfId="0" applyNumberFormat="1" applyFont="1" applyAlignment="1">
      <alignment horizontal="left" vertical="center"/>
    </xf>
    <xf numFmtId="165" fontId="5" fillId="0" borderId="0" xfId="0" applyNumberFormat="1" applyFont="1" applyAlignment="1">
      <alignment horizontal="left" vertical="center"/>
    </xf>
    <xf numFmtId="0" fontId="1" fillId="0" borderId="0" xfId="0" applyFont="1" applyAlignment="1">
      <alignment horizontal="right" vertical="center"/>
    </xf>
    <xf numFmtId="0" fontId="6"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wrapText="1"/>
    </xf>
    <xf numFmtId="0" fontId="5" fillId="0" borderId="0" xfId="0" applyFont="1" applyAlignment="1">
      <alignment vertical="center"/>
    </xf>
    <xf numFmtId="0" fontId="1" fillId="0" borderId="0" xfId="0" applyFont="1" applyAlignment="1">
      <alignment horizontal="left" vertical="center" wrapText="1"/>
    </xf>
    <xf numFmtId="0" fontId="8" fillId="0" borderId="0" xfId="0" applyFont="1"/>
    <xf numFmtId="0" fontId="9" fillId="0" borderId="1" xfId="0" applyFont="1" applyBorder="1" applyAlignment="1">
      <alignment horizontal="center" vertical="center"/>
    </xf>
    <xf numFmtId="0" fontId="6" fillId="0" borderId="1" xfId="0" applyFont="1" applyBorder="1" applyAlignment="1">
      <alignment horizontal="center"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5" fillId="0" borderId="0" xfId="0" applyFont="1" applyAlignment="1">
      <alignment vertical="center" wrapText="1"/>
    </xf>
    <xf numFmtId="166" fontId="8" fillId="0" borderId="0" xfId="0" applyNumberFormat="1" applyFont="1"/>
    <xf numFmtId="0" fontId="13" fillId="0" borderId="2" xfId="0" applyFont="1" applyBorder="1" applyAlignment="1">
      <alignment horizontal="center" vertical="center" wrapText="1"/>
    </xf>
    <xf numFmtId="167" fontId="1" fillId="0" borderId="1" xfId="0" applyNumberFormat="1" applyFont="1" applyBorder="1" applyAlignment="1">
      <alignment horizontal="center" vertical="center"/>
    </xf>
    <xf numFmtId="168" fontId="5" fillId="0" borderId="3" xfId="0" applyNumberFormat="1" applyFont="1" applyBorder="1" applyAlignment="1">
      <alignment horizontal="center" vertical="center" wrapText="1"/>
    </xf>
    <xf numFmtId="169" fontId="14" fillId="0" borderId="1" xfId="0" applyNumberFormat="1" applyFont="1" applyBorder="1" applyAlignment="1">
      <alignment horizontal="center" vertical="center"/>
    </xf>
    <xf numFmtId="168" fontId="15" fillId="0" borderId="1" xfId="0" applyNumberFormat="1" applyFont="1" applyBorder="1" applyAlignment="1">
      <alignment horizontal="center" vertical="center"/>
    </xf>
    <xf numFmtId="170" fontId="15" fillId="0" borderId="1" xfId="0" applyNumberFormat="1" applyFont="1" applyBorder="1" applyAlignment="1">
      <alignment horizontal="center" vertical="center"/>
    </xf>
    <xf numFmtId="168" fontId="16" fillId="0" borderId="1" xfId="0" applyNumberFormat="1" applyFont="1" applyBorder="1" applyAlignment="1">
      <alignment horizontal="center" vertical="center"/>
    </xf>
    <xf numFmtId="0" fontId="6" fillId="0" borderId="3" xfId="0" applyFont="1" applyBorder="1" applyAlignment="1">
      <alignment horizontal="center" vertical="center"/>
    </xf>
    <xf numFmtId="169" fontId="6" fillId="0" borderId="1" xfId="0" applyNumberFormat="1" applyFont="1" applyBorder="1" applyAlignment="1">
      <alignment horizontal="center" vertical="center"/>
    </xf>
    <xf numFmtId="168" fontId="17" fillId="0" borderId="1" xfId="0" applyNumberFormat="1" applyFont="1" applyBorder="1" applyAlignment="1">
      <alignment horizontal="center" vertical="center"/>
    </xf>
    <xf numFmtId="168" fontId="18" fillId="0" borderId="1" xfId="0" applyNumberFormat="1" applyFont="1" applyBorder="1" applyAlignment="1">
      <alignment horizontal="center" vertical="center"/>
    </xf>
    <xf numFmtId="168" fontId="19" fillId="0" borderId="1" xfId="0" applyNumberFormat="1" applyFont="1" applyBorder="1" applyAlignment="1">
      <alignment horizontal="center" vertical="center"/>
    </xf>
    <xf numFmtId="168" fontId="20" fillId="0" borderId="1" xfId="0" applyNumberFormat="1" applyFont="1" applyBorder="1" applyAlignment="1">
      <alignment horizontal="center" vertical="center"/>
    </xf>
    <xf numFmtId="0" fontId="6" fillId="0" borderId="0" xfId="0" applyFont="1" applyAlignment="1">
      <alignment horizontal="left" vertical="center"/>
    </xf>
    <xf numFmtId="168" fontId="19" fillId="0" borderId="1" xfId="0" applyNumberFormat="1" applyFont="1" applyBorder="1" applyAlignment="1">
      <alignment horizontal="left" vertical="center"/>
    </xf>
    <xf numFmtId="0" fontId="9" fillId="0" borderId="0" xfId="0" applyFont="1" applyAlignment="1">
      <alignment vertical="center"/>
    </xf>
    <xf numFmtId="166" fontId="1" fillId="0" borderId="0" xfId="0" applyNumberFormat="1" applyFont="1" applyAlignment="1">
      <alignment vertical="center"/>
    </xf>
    <xf numFmtId="168" fontId="17" fillId="0" borderId="4" xfId="0" applyNumberFormat="1" applyFont="1" applyBorder="1" applyAlignment="1">
      <alignment horizontal="center" vertical="center"/>
    </xf>
    <xf numFmtId="168" fontId="18" fillId="0" borderId="5" xfId="0" applyNumberFormat="1" applyFont="1" applyBorder="1" applyAlignment="1">
      <alignment horizontal="center" vertical="center"/>
    </xf>
    <xf numFmtId="170" fontId="15" fillId="0" borderId="5" xfId="0" applyNumberFormat="1" applyFont="1" applyBorder="1" applyAlignment="1">
      <alignment horizontal="center" vertical="center"/>
    </xf>
    <xf numFmtId="0" fontId="4" fillId="0" borderId="1" xfId="0" applyFont="1" applyBorder="1" applyAlignment="1">
      <alignment vertical="center"/>
    </xf>
    <xf numFmtId="171" fontId="1" fillId="0" borderId="1" xfId="0" applyNumberFormat="1" applyFont="1" applyBorder="1" applyAlignment="1">
      <alignment vertical="center"/>
    </xf>
    <xf numFmtId="0" fontId="1" fillId="0" borderId="1" xfId="0" applyFont="1" applyBorder="1" applyAlignment="1">
      <alignment vertical="center"/>
    </xf>
    <xf numFmtId="164" fontId="5" fillId="0" borderId="0" xfId="0" applyNumberFormat="1" applyFont="1" applyAlignment="1">
      <alignment vertical="center"/>
    </xf>
    <xf numFmtId="0" fontId="21" fillId="0" borderId="0" xfId="0" applyFont="1" applyAlignment="1">
      <alignment horizontal="left" vertical="center" wrapText="1"/>
    </xf>
    <xf numFmtId="0" fontId="22" fillId="0" borderId="0" xfId="0" applyFont="1" applyAlignment="1">
      <alignment vertical="top"/>
    </xf>
    <xf numFmtId="14" fontId="5" fillId="0" borderId="0" xfId="0" applyNumberFormat="1" applyFont="1" applyAlignment="1">
      <alignment horizontal="right" vertical="center"/>
    </xf>
    <xf numFmtId="0" fontId="5" fillId="0" borderId="0" xfId="0" applyFont="1" applyAlignment="1">
      <alignment horizontal="left" vertical="center" wrapText="1"/>
    </xf>
    <xf numFmtId="0" fontId="5" fillId="0" borderId="0" xfId="0" applyFont="1" applyAlignment="1">
      <alignment horizontal="left" vertical="center"/>
    </xf>
    <xf numFmtId="0" fontId="10" fillId="0" borderId="0" xfId="0" applyFont="1" applyAlignment="1">
      <alignment horizontal="left"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5" fillId="0" borderId="0" xfId="0" applyFont="1" applyAlignment="1">
      <alignment horizontal="right"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13" fillId="0" borderId="1" xfId="0" applyFont="1" applyBorder="1" applyAlignment="1">
      <alignment horizontal="center" vertical="center" wrapText="1"/>
    </xf>
    <xf numFmtId="169" fontId="9" fillId="0" borderId="1" xfId="0" applyNumberFormat="1" applyFont="1" applyBorder="1" applyAlignment="1">
      <alignment horizontal="center" vertical="center"/>
    </xf>
    <xf numFmtId="0" fontId="9"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Continuous" vertical="center"/>
    </xf>
    <xf numFmtId="0" fontId="5" fillId="0" borderId="0" xfId="0" applyFont="1" applyAlignment="1">
      <alignment horizontal="centerContinuous" vertical="center"/>
    </xf>
    <xf numFmtId="164" fontId="5" fillId="0" borderId="0" xfId="0" applyNumberFormat="1" applyFont="1" applyAlignment="1">
      <alignment horizontal="centerContinuous" vertical="center"/>
    </xf>
    <xf numFmtId="0" fontId="21" fillId="0" borderId="0" xfId="0" applyFont="1" applyAlignment="1">
      <alignment horizontal="left" vertical="center"/>
    </xf>
    <xf numFmtId="0" fontId="25" fillId="0" borderId="0" xfId="0" applyFont="1" applyAlignment="1">
      <alignment horizontal="right" vertical="center"/>
    </xf>
    <xf numFmtId="164" fontId="5" fillId="0" borderId="0" xfId="0" applyNumberFormat="1" applyFont="1" applyAlignment="1">
      <alignment horizontal="right" vertical="center"/>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72" fontId="5" fillId="0" borderId="1" xfId="0" applyNumberFormat="1" applyFont="1" applyBorder="1" applyAlignment="1">
      <alignment horizontal="center" vertical="center"/>
    </xf>
    <xf numFmtId="173" fontId="9" fillId="0" borderId="1" xfId="0" applyNumberFormat="1" applyFont="1" applyBorder="1" applyAlignment="1">
      <alignment horizontal="center" vertical="center"/>
    </xf>
    <xf numFmtId="172" fontId="9" fillId="0" borderId="1" xfId="0" applyNumberFormat="1" applyFont="1" applyBorder="1" applyAlignment="1">
      <alignment horizontal="center" vertical="center"/>
    </xf>
    <xf numFmtId="172" fontId="5" fillId="0" borderId="0" xfId="0" applyNumberFormat="1" applyFont="1" applyAlignment="1">
      <alignment horizontal="center" vertical="center"/>
    </xf>
    <xf numFmtId="0" fontId="26" fillId="0" borderId="0" xfId="0" applyFont="1" applyAlignment="1">
      <alignment vertical="center"/>
    </xf>
    <xf numFmtId="0" fontId="26" fillId="0" borderId="0" xfId="0" applyFont="1" applyAlignment="1">
      <alignment horizontal="left" vertical="center"/>
    </xf>
    <xf numFmtId="0" fontId="27" fillId="0" borderId="0" xfId="0" applyFont="1" applyAlignment="1">
      <alignment vertical="center"/>
    </xf>
    <xf numFmtId="0" fontId="28" fillId="0" borderId="6" xfId="0" applyFont="1" applyBorder="1" applyAlignment="1">
      <alignment vertical="center"/>
    </xf>
    <xf numFmtId="0" fontId="28" fillId="0" borderId="7" xfId="0" applyFont="1" applyBorder="1" applyAlignment="1">
      <alignment vertical="center"/>
    </xf>
    <xf numFmtId="0" fontId="28" fillId="0" borderId="7" xfId="0" applyFont="1" applyBorder="1" applyAlignment="1">
      <alignment horizontal="left" vertical="center"/>
    </xf>
    <xf numFmtId="0" fontId="28" fillId="0" borderId="8" xfId="0" applyFont="1" applyBorder="1" applyAlignment="1">
      <alignment vertical="center"/>
    </xf>
    <xf numFmtId="0" fontId="29" fillId="0" borderId="9" xfId="0" applyFont="1" applyBorder="1" applyAlignment="1">
      <alignment vertical="center"/>
    </xf>
    <xf numFmtId="0" fontId="29" fillId="0" borderId="0" xfId="0" applyFont="1" applyAlignment="1">
      <alignment vertical="center"/>
    </xf>
    <xf numFmtId="0" fontId="29" fillId="0" borderId="0" xfId="0" applyFont="1" applyAlignment="1">
      <alignment horizontal="left" vertical="center"/>
    </xf>
    <xf numFmtId="0" fontId="26" fillId="0" borderId="10" xfId="0" applyFont="1" applyBorder="1" applyAlignment="1">
      <alignment vertical="center"/>
    </xf>
    <xf numFmtId="49" fontId="29" fillId="0" borderId="0" xfId="0" applyNumberFormat="1" applyFont="1" applyAlignment="1">
      <alignment vertical="center"/>
    </xf>
    <xf numFmtId="173" fontId="29" fillId="0" borderId="0" xfId="0" applyNumberFormat="1" applyFont="1" applyAlignment="1">
      <alignment vertical="center"/>
    </xf>
    <xf numFmtId="0" fontId="29" fillId="0" borderId="10" xfId="0" applyFont="1" applyBorder="1" applyAlignment="1">
      <alignment vertical="center"/>
    </xf>
    <xf numFmtId="0" fontId="29" fillId="0" borderId="6" xfId="0" applyFont="1" applyBorder="1" applyAlignment="1">
      <alignment vertical="center"/>
    </xf>
    <xf numFmtId="0" fontId="29" fillId="0" borderId="7" xfId="0" applyFont="1" applyBorder="1" applyAlignment="1">
      <alignment vertical="center"/>
    </xf>
    <xf numFmtId="0" fontId="29" fillId="0" borderId="11" xfId="0" applyFont="1" applyBorder="1" applyAlignment="1">
      <alignment horizontal="left" vertical="center"/>
    </xf>
    <xf numFmtId="0" fontId="29" fillId="0" borderId="11" xfId="0" applyFont="1" applyBorder="1" applyAlignment="1">
      <alignment vertical="center"/>
    </xf>
    <xf numFmtId="0" fontId="29" fillId="0" borderId="12" xfId="0" applyFont="1" applyBorder="1" applyAlignment="1">
      <alignment vertical="center"/>
    </xf>
    <xf numFmtId="0" fontId="29" fillId="0" borderId="8" xfId="0" applyFont="1" applyBorder="1" applyAlignment="1">
      <alignment vertical="center"/>
    </xf>
    <xf numFmtId="0" fontId="29" fillId="0" borderId="13" xfId="0" applyFont="1" applyBorder="1" applyAlignment="1">
      <alignment vertical="center"/>
    </xf>
    <xf numFmtId="0" fontId="29" fillId="0" borderId="14" xfId="0" applyFont="1" applyBorder="1" applyAlignment="1">
      <alignment vertical="center"/>
    </xf>
    <xf numFmtId="0" fontId="29" fillId="0" borderId="15" xfId="0" applyFont="1" applyBorder="1" applyAlignment="1">
      <alignment horizontal="left" vertical="center"/>
    </xf>
    <xf numFmtId="0" fontId="29" fillId="0" borderId="16" xfId="0" applyFont="1" applyBorder="1" applyAlignment="1">
      <alignment vertical="center"/>
    </xf>
    <xf numFmtId="0" fontId="29" fillId="0" borderId="17" xfId="0" applyFont="1" applyBorder="1" applyAlignment="1">
      <alignment vertical="center"/>
    </xf>
    <xf numFmtId="0" fontId="29" fillId="0" borderId="18" xfId="0" applyFont="1" applyBorder="1" applyAlignment="1">
      <alignment vertical="center"/>
    </xf>
    <xf numFmtId="0" fontId="29" fillId="0" borderId="15" xfId="0" applyFont="1" applyBorder="1" applyAlignment="1">
      <alignment vertical="center"/>
    </xf>
    <xf numFmtId="0" fontId="29" fillId="0" borderId="19" xfId="0" applyFont="1" applyBorder="1" applyAlignment="1">
      <alignment vertical="center"/>
    </xf>
    <xf numFmtId="0" fontId="29" fillId="0" borderId="0" xfId="0" applyFont="1" applyAlignment="1">
      <alignment vertical="center" wrapText="1"/>
    </xf>
    <xf numFmtId="0" fontId="29" fillId="2" borderId="9" xfId="0" applyFont="1" applyFill="1" applyBorder="1" applyAlignment="1">
      <alignment vertical="center"/>
    </xf>
    <xf numFmtId="0" fontId="29" fillId="2" borderId="0" xfId="0" applyFont="1" applyFill="1" applyAlignment="1">
      <alignment vertical="center"/>
    </xf>
    <xf numFmtId="0" fontId="30" fillId="0" borderId="15" xfId="0" applyFont="1" applyBorder="1" applyAlignment="1">
      <alignment vertical="center"/>
    </xf>
    <xf numFmtId="0" fontId="30" fillId="2" borderId="15" xfId="0" applyFont="1" applyFill="1" applyBorder="1" applyAlignment="1">
      <alignment vertical="center"/>
    </xf>
    <xf numFmtId="0" fontId="30" fillId="2" borderId="0" xfId="0" applyFont="1" applyFill="1" applyAlignment="1">
      <alignment vertical="center"/>
    </xf>
    <xf numFmtId="0" fontId="29" fillId="0" borderId="20" xfId="0" applyFont="1" applyBorder="1" applyAlignment="1">
      <alignment vertical="center"/>
    </xf>
    <xf numFmtId="0" fontId="29" fillId="0" borderId="21" xfId="0" applyFont="1" applyBorder="1" applyAlignment="1">
      <alignment vertical="center"/>
    </xf>
    <xf numFmtId="0" fontId="29" fillId="2" borderId="22" xfId="0" applyFont="1" applyFill="1" applyBorder="1" applyAlignment="1">
      <alignment horizontal="left" vertical="center"/>
    </xf>
    <xf numFmtId="172" fontId="29" fillId="2" borderId="22" xfId="0" applyNumberFormat="1" applyFont="1" applyFill="1" applyBorder="1" applyAlignment="1">
      <alignment horizontal="left" vertical="center"/>
    </xf>
    <xf numFmtId="172" fontId="29" fillId="2" borderId="21" xfId="0" applyNumberFormat="1" applyFont="1" applyFill="1" applyBorder="1" applyAlignment="1">
      <alignment horizontal="left" vertical="center"/>
    </xf>
    <xf numFmtId="0" fontId="29" fillId="0" borderId="21" xfId="0" applyFont="1" applyBorder="1" applyAlignment="1">
      <alignment horizontal="left" vertical="center"/>
    </xf>
    <xf numFmtId="0" fontId="29" fillId="0" borderId="23" xfId="0" applyFont="1" applyBorder="1" applyAlignment="1">
      <alignment horizontal="left" vertical="center"/>
    </xf>
    <xf numFmtId="0" fontId="29" fillId="0" borderId="22" xfId="0" applyFont="1" applyBorder="1" applyAlignment="1">
      <alignment horizontal="left" vertical="center"/>
    </xf>
    <xf numFmtId="0" fontId="29" fillId="0" borderId="24" xfId="0" applyFont="1" applyBorder="1" applyAlignment="1">
      <alignment horizontal="left" vertical="center"/>
    </xf>
    <xf numFmtId="49" fontId="29" fillId="0" borderId="9" xfId="0" applyNumberFormat="1" applyFont="1" applyBorder="1" applyAlignment="1">
      <alignment vertical="center"/>
    </xf>
    <xf numFmtId="49" fontId="29" fillId="0" borderId="0" xfId="0" applyNumberFormat="1" applyFont="1" applyAlignment="1">
      <alignment horizontal="left" vertical="center"/>
    </xf>
    <xf numFmtId="172" fontId="29" fillId="0" borderId="0" xfId="0" applyNumberFormat="1" applyFont="1" applyAlignment="1">
      <alignment vertical="center"/>
    </xf>
    <xf numFmtId="0" fontId="29" fillId="0" borderId="7" xfId="0" applyFont="1" applyBorder="1" applyAlignment="1">
      <alignment horizontal="left" vertical="center"/>
    </xf>
    <xf numFmtId="0" fontId="29" fillId="0" borderId="14" xfId="0" applyFont="1" applyBorder="1" applyAlignment="1">
      <alignment horizontal="left" vertical="center"/>
    </xf>
    <xf numFmtId="0" fontId="29" fillId="0" borderId="14" xfId="0" applyFont="1" applyBorder="1" applyAlignment="1">
      <alignment vertical="center" wrapText="1"/>
    </xf>
    <xf numFmtId="0" fontId="26" fillId="0" borderId="7" xfId="0" applyFont="1" applyBorder="1" applyAlignment="1">
      <alignment vertical="center"/>
    </xf>
    <xf numFmtId="0" fontId="29" fillId="0" borderId="7" xfId="0" applyFont="1" applyBorder="1" applyAlignment="1">
      <alignment vertical="center" wrapText="1"/>
    </xf>
    <xf numFmtId="0" fontId="31" fillId="0" borderId="0" xfId="0" applyFont="1" applyAlignment="1">
      <alignment vertical="center"/>
    </xf>
    <xf numFmtId="0" fontId="32" fillId="0" borderId="0" xfId="0" applyFont="1" applyAlignment="1">
      <alignment vertical="center"/>
    </xf>
    <xf numFmtId="0" fontId="33" fillId="0" borderId="25" xfId="0" applyFont="1" applyBorder="1" applyAlignment="1">
      <alignment horizontal="center" vertical="center"/>
    </xf>
    <xf numFmtId="0" fontId="34" fillId="0" borderId="1" xfId="0" applyFont="1" applyBorder="1" applyAlignment="1">
      <alignment horizontal="left" vertical="center"/>
    </xf>
    <xf numFmtId="0" fontId="35" fillId="0" borderId="1" xfId="0" applyFont="1" applyBorder="1" applyAlignment="1">
      <alignment horizontal="left" vertical="center"/>
    </xf>
    <xf numFmtId="0" fontId="34" fillId="0" borderId="1" xfId="0" applyFont="1" applyBorder="1" applyAlignment="1">
      <alignment horizontal="left" vertical="center" wrapText="1"/>
    </xf>
    <xf numFmtId="173" fontId="33" fillId="0" borderId="1" xfId="0" applyNumberFormat="1" applyFont="1" applyBorder="1" applyAlignment="1">
      <alignment horizontal="left" vertical="center" wrapText="1"/>
    </xf>
    <xf numFmtId="168" fontId="33" fillId="0" borderId="1" xfId="0" applyNumberFormat="1" applyFont="1" applyBorder="1" applyAlignment="1">
      <alignment horizontal="left" vertical="center" wrapText="1"/>
    </xf>
    <xf numFmtId="174" fontId="33" fillId="0" borderId="1" xfId="0" applyNumberFormat="1" applyFont="1" applyBorder="1" applyAlignment="1">
      <alignment horizontal="left" vertical="center" wrapText="1"/>
    </xf>
    <xf numFmtId="174" fontId="35" fillId="0" borderId="1" xfId="0" applyNumberFormat="1" applyFont="1" applyBorder="1" applyAlignment="1">
      <alignment horizontal="right" vertical="center" wrapText="1"/>
    </xf>
    <xf numFmtId="0" fontId="35" fillId="0" borderId="1" xfId="0" applyFont="1" applyBorder="1" applyAlignment="1">
      <alignment horizontal="right" vertical="center"/>
    </xf>
    <xf numFmtId="0" fontId="33" fillId="0" borderId="26" xfId="0" applyFont="1" applyBorder="1" applyAlignment="1">
      <alignment horizontal="right" vertical="center"/>
    </xf>
    <xf numFmtId="0" fontId="33" fillId="0" borderId="1" xfId="0" applyFont="1" applyBorder="1" applyAlignment="1">
      <alignment horizontal="left" vertical="center"/>
    </xf>
    <xf numFmtId="0" fontId="33" fillId="0" borderId="1" xfId="0" applyFont="1" applyBorder="1" applyAlignment="1">
      <alignment vertical="center" wrapText="1"/>
    </xf>
    <xf numFmtId="0" fontId="36" fillId="0" borderId="1" xfId="0" applyFont="1" applyBorder="1" applyAlignment="1">
      <alignment vertical="center" wrapText="1"/>
    </xf>
    <xf numFmtId="172" fontId="33" fillId="2" borderId="1" xfId="0" applyNumberFormat="1" applyFont="1" applyFill="1" applyBorder="1" applyAlignment="1">
      <alignment horizontal="left" vertical="center" wrapText="1"/>
    </xf>
    <xf numFmtId="174" fontId="33" fillId="0" borderId="1" xfId="0" applyNumberFormat="1" applyFont="1" applyBorder="1" applyAlignment="1">
      <alignment horizontal="right" vertical="center" wrapText="1"/>
    </xf>
    <xf numFmtId="0" fontId="33" fillId="0" borderId="1" xfId="0" applyFont="1" applyBorder="1" applyAlignment="1">
      <alignment horizontal="right" vertical="center"/>
    </xf>
    <xf numFmtId="0" fontId="33" fillId="0" borderId="24" xfId="0" applyFont="1" applyBorder="1" applyAlignment="1">
      <alignment horizontal="right" vertical="center"/>
    </xf>
    <xf numFmtId="0" fontId="33" fillId="0" borderId="27" xfId="0" applyFont="1" applyBorder="1" applyAlignment="1">
      <alignment horizontal="left" vertical="center"/>
    </xf>
    <xf numFmtId="0" fontId="33" fillId="0" borderId="28" xfId="0" applyFont="1" applyBorder="1" applyAlignment="1">
      <alignment vertical="center" wrapText="1"/>
    </xf>
    <xf numFmtId="0" fontId="36" fillId="0" borderId="29" xfId="0" applyFont="1" applyBorder="1" applyAlignment="1">
      <alignment vertical="center" wrapText="1"/>
    </xf>
    <xf numFmtId="0" fontId="33" fillId="0" borderId="29" xfId="0" applyFont="1" applyBorder="1" applyAlignment="1">
      <alignment horizontal="left" vertical="center"/>
    </xf>
    <xf numFmtId="173" fontId="33" fillId="0" borderId="29" xfId="0" applyNumberFormat="1" applyFont="1" applyBorder="1" applyAlignment="1">
      <alignment horizontal="left" vertical="center" wrapText="1"/>
    </xf>
    <xf numFmtId="172" fontId="33" fillId="2" borderId="29" xfId="0" applyNumberFormat="1" applyFont="1" applyFill="1" applyBorder="1" applyAlignment="1">
      <alignment horizontal="left" vertical="center" wrapText="1"/>
    </xf>
    <xf numFmtId="174" fontId="33" fillId="0" borderId="29" xfId="0" applyNumberFormat="1" applyFont="1" applyBorder="1" applyAlignment="1">
      <alignment horizontal="left" vertical="center" wrapText="1"/>
    </xf>
    <xf numFmtId="174" fontId="33" fillId="0" borderId="29" xfId="0" applyNumberFormat="1" applyFont="1" applyBorder="1" applyAlignment="1">
      <alignment horizontal="right" vertical="center" wrapText="1"/>
    </xf>
    <xf numFmtId="0" fontId="33" fillId="0" borderId="14" xfId="0" applyFont="1" applyBorder="1" applyAlignment="1">
      <alignment horizontal="right" vertical="center"/>
    </xf>
    <xf numFmtId="0" fontId="33" fillId="0" borderId="18" xfId="0" applyFont="1" applyBorder="1" applyAlignment="1">
      <alignment horizontal="right" vertical="center"/>
    </xf>
    <xf numFmtId="0" fontId="33" fillId="0" borderId="4" xfId="0" applyFont="1" applyBorder="1" applyAlignment="1">
      <alignment horizontal="left" vertical="center"/>
    </xf>
    <xf numFmtId="0" fontId="33" fillId="0" borderId="30" xfId="0" applyFont="1" applyBorder="1" applyAlignment="1">
      <alignment vertical="center" wrapText="1"/>
    </xf>
    <xf numFmtId="0" fontId="36" fillId="0" borderId="5" xfId="0" applyFont="1" applyBorder="1" applyAlignment="1">
      <alignment vertical="center" wrapText="1"/>
    </xf>
    <xf numFmtId="0" fontId="33" fillId="0" borderId="5" xfId="0" applyFont="1" applyBorder="1" applyAlignment="1">
      <alignment horizontal="left" vertical="center"/>
    </xf>
    <xf numFmtId="168" fontId="33" fillId="2" borderId="5" xfId="0" applyNumberFormat="1" applyFont="1" applyFill="1" applyBorder="1" applyAlignment="1">
      <alignment horizontal="left" vertical="center" wrapText="1"/>
    </xf>
    <xf numFmtId="168" fontId="33" fillId="0" borderId="5" xfId="0" applyNumberFormat="1" applyFont="1" applyBorder="1" applyAlignment="1">
      <alignment horizontal="left" vertical="center" wrapText="1"/>
    </xf>
    <xf numFmtId="174" fontId="33" fillId="0" borderId="5" xfId="0" applyNumberFormat="1" applyFont="1" applyBorder="1" applyAlignment="1">
      <alignment horizontal="left" vertical="center" wrapText="1"/>
    </xf>
    <xf numFmtId="174" fontId="33" fillId="0" borderId="5" xfId="0" applyNumberFormat="1" applyFont="1" applyBorder="1" applyAlignment="1">
      <alignment horizontal="right" vertical="center" wrapText="1"/>
    </xf>
    <xf numFmtId="0" fontId="33" fillId="0" borderId="5" xfId="0" applyFont="1" applyBorder="1" applyAlignment="1">
      <alignment horizontal="right" vertical="center"/>
    </xf>
    <xf numFmtId="0" fontId="33" fillId="0" borderId="31" xfId="0" applyFont="1" applyBorder="1" applyAlignment="1">
      <alignment horizontal="right" vertical="center"/>
    </xf>
    <xf numFmtId="0" fontId="29" fillId="0" borderId="4" xfId="0" applyFont="1" applyBorder="1" applyAlignment="1">
      <alignment vertical="center"/>
    </xf>
    <xf numFmtId="0" fontId="26" fillId="0" borderId="30" xfId="0" applyFont="1" applyBorder="1" applyAlignment="1">
      <alignment horizontal="left" vertical="center" wrapText="1"/>
    </xf>
    <xf numFmtId="0" fontId="29" fillId="0" borderId="5" xfId="0" applyFont="1" applyBorder="1" applyAlignment="1">
      <alignment horizontal="left" vertical="center"/>
    </xf>
    <xf numFmtId="0" fontId="29" fillId="0" borderId="5" xfId="0" applyFont="1" applyBorder="1" applyAlignment="1">
      <alignment horizontal="left" vertical="top" wrapText="1"/>
    </xf>
    <xf numFmtId="0" fontId="29" fillId="0" borderId="5" xfId="0" applyFont="1" applyBorder="1" applyAlignment="1">
      <alignment vertical="top" wrapText="1"/>
    </xf>
    <xf numFmtId="0" fontId="29" fillId="0" borderId="32" xfId="0" applyFont="1" applyBorder="1" applyAlignment="1">
      <alignment vertical="top" wrapText="1"/>
    </xf>
    <xf numFmtId="0" fontId="29" fillId="0" borderId="5" xfId="0" applyFont="1" applyBorder="1" applyAlignment="1">
      <alignment vertical="center"/>
    </xf>
    <xf numFmtId="0" fontId="29" fillId="0" borderId="31" xfId="0" applyFont="1" applyBorder="1" applyAlignment="1">
      <alignment vertical="center"/>
    </xf>
    <xf numFmtId="0" fontId="29" fillId="0" borderId="14" xfId="0" applyFont="1" applyBorder="1" applyAlignment="1">
      <alignment vertical="top" wrapText="1"/>
    </xf>
    <xf numFmtId="0" fontId="26" fillId="0" borderId="0" xfId="0" applyFont="1" applyAlignment="1">
      <alignment horizontal="left" vertical="top"/>
    </xf>
    <xf numFmtId="0" fontId="33" fillId="0" borderId="1" xfId="0" applyFont="1" applyBorder="1" applyAlignment="1">
      <alignment horizontal="left" vertical="top"/>
    </xf>
    <xf numFmtId="0" fontId="33" fillId="0" borderId="1" xfId="0" applyFont="1" applyBorder="1" applyAlignment="1">
      <alignment horizontal="left" vertical="top" wrapText="1"/>
    </xf>
    <xf numFmtId="0" fontId="37" fillId="0" borderId="1" xfId="0" applyFont="1" applyBorder="1" applyAlignment="1">
      <alignment horizontal="left" vertical="top" wrapText="1"/>
    </xf>
    <xf numFmtId="0" fontId="38" fillId="0" borderId="1" xfId="0" applyFont="1" applyBorder="1" applyAlignment="1">
      <alignment horizontal="left" vertical="top"/>
    </xf>
    <xf numFmtId="0" fontId="27" fillId="0" borderId="0" xfId="0" applyFont="1" applyAlignment="1">
      <alignment horizontal="left" vertical="top"/>
    </xf>
    <xf numFmtId="0" fontId="35" fillId="0" borderId="1" xfId="0" applyFont="1" applyBorder="1" applyAlignment="1">
      <alignment horizontal="left" vertical="top" wrapText="1"/>
    </xf>
    <xf numFmtId="0" fontId="35" fillId="0" borderId="1" xfId="0" applyFont="1" applyBorder="1" applyAlignment="1">
      <alignment horizontal="left" vertical="top"/>
    </xf>
    <xf numFmtId="0" fontId="38"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xml"/><Relationship Id="rId5" Type="http://schemas.openxmlformats.org/officeDocument/2006/relationships/worksheet" Target="worksheets/sheet4.xml"/><Relationship Id="rId6" Type="http://schemas.openxmlformats.org/officeDocument/2006/relationships/worksheet" Target="worksheets/sheet3.xml"/><Relationship Id="rId7"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748665</xdr:colOff>
      <xdr:row>0</xdr:row>
      <xdr:rowOff>51435</xdr:rowOff>
    </xdr:from>
    <xdr:to>
      <xdr:col>5</xdr:col>
      <xdr:colOff>1302546</xdr:colOff>
      <xdr:row>0</xdr:row>
      <xdr:rowOff>552790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906780</xdr:colOff>
      <xdr:row>0</xdr:row>
      <xdr:rowOff>25400</xdr:rowOff>
    </xdr:from>
    <xdr:to>
      <xdr:col>6</xdr:col>
      <xdr:colOff>882651</xdr:colOff>
      <xdr:row>1</xdr:row>
      <xdr:rowOff>19390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20955</xdr:colOff>
      <xdr:row>0</xdr:row>
      <xdr:rowOff>635</xdr:rowOff>
    </xdr:from>
    <xdr:to>
      <xdr:col>0</xdr:col>
      <xdr:colOff>569595</xdr:colOff>
      <xdr:row>1</xdr:row>
      <xdr:rowOff>248285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Vertex42">
  <a:themeElements>
    <a:clrScheme name="V42-ClassicBlue">
      <a:dk1>
        <a:sysClr val="windowText" lastClr="000000"/>
      </a:dk1>
      <a:lt1>
        <a:sysClr val="window" lastClr="FFFFFF"/>
      </a:lt1>
      <a:dk2>
        <a:srgbClr val="3A5D9C"/>
      </a:dk2>
      <a:lt2>
        <a:srgbClr val="EEECE2"/>
      </a:lt2>
      <a:accent1>
        <a:srgbClr val="3B4E87"/>
      </a:accent1>
      <a:accent2>
        <a:srgbClr val="C04E4E"/>
      </a:accent2>
      <a:accent3>
        <a:srgbClr val="3D8A16"/>
      </a:accent3>
      <a:accent4>
        <a:srgbClr val="7860B4"/>
      </a:accent4>
      <a:accent5>
        <a:srgbClr val="E68422"/>
      </a:accent5>
      <a:accent6>
        <a:srgbClr val="846648"/>
      </a:accent6>
      <a:hlink>
        <a:srgbClr val="4C92AE"/>
      </a:hlink>
      <a:folHlink>
        <a:srgbClr val="969696"/>
      </a:folHlink>
    </a:clrScheme>
    <a:fontScheme name="Vertex4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www.hongkunglobal.com/"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www.hongkunglobal.com/" TargetMode="External"/><Relationship Id="rId2"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workbookViewId="0" showGridLines="0" zoomScale="115" zoomScaleNormal="100" view="pageBreakPreview">
      <selection activeCell="F27" sqref="F27"/>
    </sheetView>
  </sheetViews>
  <sheetFormatPr defaultRowHeight="15" outlineLevelRow="0" outlineLevelCol="7" x14ac:dyDescent="0" defaultColWidth="9.14285714285714"/>
  <cols>
    <col min="1" max="1" width="13.6285714285714" style="14" customWidth="1"/>
    <col min="2" max="2" width="38.6285714285714" style="14" customWidth="1"/>
    <col min="3" max="3" width="18.5047619047619" style="14" customWidth="1"/>
    <col min="4" max="4" width="15.1238095238095" style="14" customWidth="1"/>
    <col min="5" max="6" width="15.5047619047619" style="14" customWidth="1"/>
    <col min="7" max="7" width="23.2857142857143" style="47" customWidth="1"/>
    <col min="8" max="8" width="19.2857142857143" style="14" customWidth="1"/>
    <col min="9" max="9" width="22.5714285714286" style="14" customWidth="1"/>
    <col min="10" max="10" width="9.14285714285714" style="14" customWidth="1"/>
    <col min="11" max="11" width="14.5714285714286" style="14" customWidth="1"/>
    <col min="12" max="12" width="9.14285714285714" style="14" customWidth="1"/>
    <col min="13" max="13" width="14.5714285714286" style="14" customWidth="1"/>
    <col min="14" max="16384" width="9.14285714285714" style="14" customWidth="1"/>
  </cols>
  <sheetData>
    <row r="1" ht="39.95" customHeight="1" spans="1:1" x14ac:dyDescent="0.25">
      <c r="A1" s="69" t="s">
        <v>50</v>
      </c>
    </row>
    <row r="2" spans="7:7" x14ac:dyDescent="0.25">
      <c r="G2" s="50"/>
    </row>
    <row r="3" spans="1:7" x14ac:dyDescent="0.25">
      <c r="A3" s="14" t="s">
        <v>52</v>
      </c>
      <c r="G3" s="14"/>
    </row>
    <row r="4" spans="1:7" x14ac:dyDescent="0.25">
      <c r="A4" s="52" t="s">
        <v>7</v>
      </c>
      <c r="B4" s="52"/>
      <c r="C4" s="52"/>
      <c r="D4" s="52"/>
      <c r="E4" s="52"/>
      <c r="F4" s="52"/>
      <c r="G4" s="14"/>
    </row>
    <row r="5" spans="1:7" x14ac:dyDescent="0.25">
      <c r="A5" s="52" t="s">
        <v>54</v>
      </c>
      <c r="B5" s="52"/>
      <c r="C5" s="52"/>
      <c r="D5" s="52"/>
      <c r="E5" s="52"/>
      <c r="F5" s="52"/>
      <c r="G5" s="52"/>
    </row>
    <row r="6" spans="1:7" x14ac:dyDescent="0.25">
      <c r="A6" s="52" t="s">
        <v>55</v>
      </c>
      <c r="B6" s="52"/>
      <c r="C6" s="52"/>
      <c r="D6" s="52"/>
      <c r="E6" s="52"/>
      <c r="F6" s="52"/>
      <c r="G6" s="52"/>
    </row>
    <row r="7" spans="1:7" x14ac:dyDescent="0.25">
      <c r="A7" s="54"/>
      <c r="B7" s="54"/>
      <c r="C7" s="54"/>
      <c r="D7" s="54"/>
      <c r="E7" s="54"/>
      <c r="F7" s="54"/>
      <c r="G7" s="54"/>
    </row>
    <row r="8" ht="30" customHeight="1" spans="1:7" x14ac:dyDescent="0.25">
      <c r="A8" s="55" t="s">
        <v>66</v>
      </c>
      <c r="B8" s="55"/>
      <c r="C8" s="55"/>
      <c r="D8" s="55"/>
      <c r="E8" s="55"/>
      <c r="F8" s="55"/>
      <c r="G8" s="55"/>
    </row>
    <row r="9" spans="1:7" x14ac:dyDescent="0.25">
      <c r="A9" s="56"/>
      <c r="B9" s="56"/>
      <c r="C9" s="56"/>
      <c r="D9" s="56"/>
      <c r="E9" s="70"/>
      <c r="F9" s="56"/>
      <c r="G9" s="56"/>
    </row>
    <row r="10" spans="1:6" x14ac:dyDescent="0.25">
      <c r="A10" s="39" t="s">
        <v>57</v>
      </c>
      <c r="D10" s="52"/>
      <c r="E10" s="57" t="s">
        <v>58</v>
      </c>
      <c r="F10" s="6" t="str">
        <f>Template_CI!E11</f>
        <v>HKG26-024-B5&amp;005-B4</v>
      </c>
    </row>
    <row r="11" spans="1:6" x14ac:dyDescent="0.25">
      <c r="A11" s="14" t="s">
        <v>9</v>
      </c>
      <c r="B11" s="14" t="s">
        <v>63</v>
      </c>
      <c r="D11" s="52"/>
      <c r="E11" s="57" t="s">
        <v>61</v>
      </c>
      <c r="F11" s="7">
        <v>46204</v>
      </c>
    </row>
    <row r="12" ht="20.1" customHeight="1" spans="1:7" x14ac:dyDescent="0.25">
      <c r="A12" s="14" t="s">
        <v>67</v>
      </c>
      <c r="B12" s="14" t="str">
        <f>Template_CI!B11</f>
        <v>CSQUARE STEEL CO., LIMITED</v>
      </c>
      <c r="C12" s="39"/>
      <c r="D12" s="52"/>
      <c r="E12" s="52"/>
      <c r="F12" s="52"/>
      <c r="G12" s="71"/>
    </row>
    <row r="13" spans="1:2" x14ac:dyDescent="0.25">
      <c r="A13" s="14" t="s">
        <v>59</v>
      </c>
      <c r="B13" s="14" t="s">
        <v>60</v>
      </c>
    </row>
    <row r="14" spans="2:2" x14ac:dyDescent="0.25">
      <c r="B14" s="14" t="s">
        <v>62</v>
      </c>
    </row>
    <row r="15" spans="1:2" x14ac:dyDescent="0.25">
      <c r="A15" s="14" t="s">
        <v>10</v>
      </c>
      <c r="B15" s="14" t="s">
        <v>64</v>
      </c>
    </row>
    <row r="16" ht="11" customHeight="1" spans="1:7" x14ac:dyDescent="0.25">
      <c r="A16" s="52"/>
      <c r="B16" s="52"/>
      <c r="C16" s="52"/>
      <c r="D16" s="52"/>
      <c r="E16" s="52"/>
      <c r="F16" s="52"/>
      <c r="G16" s="6"/>
    </row>
    <row r="17" ht="11" customHeight="1" spans="1:7" x14ac:dyDescent="0.25">
      <c r="A17" s="52"/>
      <c r="B17" s="52"/>
      <c r="C17" s="52"/>
      <c r="D17" s="52"/>
      <c r="E17" s="52"/>
      <c r="F17" s="52"/>
      <c r="G17" s="6"/>
    </row>
    <row r="18" ht="11" customHeight="1" spans="1:7" x14ac:dyDescent="0.25">
      <c r="A18" s="52"/>
      <c r="B18" s="52"/>
      <c r="C18" s="52"/>
      <c r="D18" s="52"/>
      <c r="E18" s="52"/>
      <c r="F18" s="52"/>
      <c r="G18" s="6"/>
    </row>
    <row r="19" ht="39.95" customHeight="1" spans="1:8" x14ac:dyDescent="0.25">
      <c r="A19" s="17" t="s">
        <v>13</v>
      </c>
      <c r="B19" s="17" t="s">
        <v>14</v>
      </c>
      <c r="C19" s="72" t="s">
        <v>68</v>
      </c>
      <c r="D19" s="17" t="s">
        <v>69</v>
      </c>
      <c r="E19" s="72" t="s">
        <v>70</v>
      </c>
      <c r="F19" s="73" t="s">
        <v>71</v>
      </c>
      <c r="G19" s="72" t="s">
        <v>72</v>
      </c>
      <c r="H19" s="62"/>
    </row>
    <row r="20" ht="39.95" customHeight="1" spans="1:8" x14ac:dyDescent="0.25">
      <c r="A20" s="60">
        <v>1</v>
      </c>
      <c r="B20" s="24">
        <f>'Sales Contract'!B20</f>
      </c>
      <c r="C20" s="74">
        <f>'Sales Contract'!C20&amp;" "&amp;'Sales Contract'!D20</f>
      </c>
      <c r="D20" s="75"/>
      <c r="E20" s="76"/>
      <c r="F20" s="76"/>
      <c r="G20" s="76"/>
      <c r="H20" s="14"/>
    </row>
    <row r="21" ht="39.95" customHeight="1" spans="1:8" x14ac:dyDescent="0.25">
      <c r="A21" s="60">
        <v>2</v>
      </c>
      <c r="B21" s="24">
        <f>'Sales Contract'!B21</f>
      </c>
      <c r="C21" s="74">
        <f>'Sales Contract'!C21&amp;" "&amp;'Sales Contract'!D21</f>
      </c>
      <c r="D21" s="75"/>
      <c r="E21" s="76"/>
      <c r="F21" s="76"/>
      <c r="G21" s="76"/>
      <c r="H21" s="14"/>
    </row>
    <row r="22" ht="39.95" customHeight="1" spans="1:8" x14ac:dyDescent="0.25">
      <c r="A22" s="60">
        <v>3</v>
      </c>
      <c r="B22" s="24">
        <f>'Sales Contract'!B22</f>
      </c>
      <c r="C22" s="74">
        <f>'Sales Contract'!C22&amp;" "&amp;'Sales Contract'!D22</f>
      </c>
      <c r="D22" s="75"/>
      <c r="E22" s="76"/>
      <c r="F22" s="76"/>
      <c r="G22" s="76"/>
      <c r="H22" s="14"/>
    </row>
    <row r="23" ht="39.95" customHeight="1" spans="1:8" x14ac:dyDescent="0.25">
      <c r="A23" s="60">
        <v>4</v>
      </c>
      <c r="B23" s="24">
        <f>'Sales Contract'!B23</f>
      </c>
      <c r="C23" s="74">
        <f>'Sales Contract'!C23&amp;" "&amp;'Sales Contract'!D23</f>
      </c>
      <c r="D23" s="75"/>
      <c r="E23" s="76"/>
      <c r="F23" s="76"/>
      <c r="G23" s="76"/>
      <c r="H23" s="14"/>
    </row>
    <row r="24" ht="39.95" customHeight="1" spans="1:8" x14ac:dyDescent="0.25">
      <c r="A24" s="60">
        <v>5</v>
      </c>
      <c r="B24" s="24">
        <f>'Sales Contract'!B24</f>
      </c>
      <c r="C24" s="74">
        <f>'Sales Contract'!C24&amp;" "&amp;'Sales Contract'!D24</f>
      </c>
      <c r="D24" s="75"/>
      <c r="E24" s="76"/>
      <c r="F24" s="76"/>
      <c r="G24" s="76"/>
      <c r="H24" s="14"/>
    </row>
    <row r="25" ht="39.95" customHeight="1" spans="1:8" x14ac:dyDescent="0.25">
      <c r="A25" s="60">
        <v>6</v>
      </c>
      <c r="B25" s="24">
        <f>'Sales Contract'!B25</f>
      </c>
      <c r="C25" s="74">
        <f>'Sales Contract'!C25&amp;" "&amp;'Sales Contract'!D25</f>
      </c>
      <c r="D25" s="75"/>
      <c r="E25" s="76"/>
      <c r="F25" s="76"/>
      <c r="G25" s="76"/>
      <c r="H25" s="14"/>
    </row>
    <row r="26" ht="39.95" customHeight="1" spans="1:8" x14ac:dyDescent="0.25">
      <c r="A26" s="60">
        <v>7</v>
      </c>
      <c r="B26" s="24">
        <f>'Sales Contract'!B26</f>
      </c>
      <c r="C26" s="74">
        <f>'Sales Contract'!C26&amp;" "&amp;'Sales Contract'!D26</f>
      </c>
      <c r="D26" s="75"/>
      <c r="E26" s="76"/>
      <c r="F26" s="76"/>
      <c r="G26" s="76"/>
      <c r="H26" s="14"/>
    </row>
    <row r="27" ht="39.95" customHeight="1" spans="1:8" x14ac:dyDescent="0.25">
      <c r="A27" s="60">
        <v>8</v>
      </c>
      <c r="B27" s="24">
        <f>'Sales Contract'!B27</f>
      </c>
      <c r="C27" s="74">
        <f>'Sales Contract'!C27&amp;" "&amp;'Sales Contract'!D27</f>
      </c>
      <c r="D27" s="75"/>
      <c r="E27" s="76"/>
      <c r="F27" s="76"/>
      <c r="G27" s="76"/>
      <c r="H27" s="14"/>
    </row>
    <row r="28" ht="39.95" customHeight="1" spans="1:8" x14ac:dyDescent="0.25">
      <c r="A28" s="60">
        <v>9</v>
      </c>
      <c r="B28" s="24">
        <f>'Sales Contract'!B28</f>
      </c>
      <c r="C28" s="74">
        <f>'Sales Contract'!C28&amp;" "&amp;'Sales Contract'!D28</f>
      </c>
      <c r="D28" s="75"/>
      <c r="E28" s="76"/>
      <c r="F28" s="76"/>
      <c r="G28" s="76"/>
      <c r="H28" s="14"/>
    </row>
    <row r="29" ht="39.95" customHeight="1" spans="1:8" x14ac:dyDescent="0.25">
      <c r="A29" s="60">
        <v>10</v>
      </c>
      <c r="B29" s="24">
        <f>'Sales Contract'!B29</f>
      </c>
      <c r="C29" s="74">
        <f>'Sales Contract'!C29&amp;" "&amp;'Sales Contract'!D29</f>
      </c>
      <c r="D29" s="75"/>
      <c r="E29" s="76"/>
      <c r="F29" s="76"/>
      <c r="G29" s="76"/>
      <c r="H29" s="14"/>
    </row>
    <row r="30" ht="39.95" customHeight="1" hidden="1" spans="1:8" x14ac:dyDescent="0.25">
      <c r="A30" s="60">
        <v>11</v>
      </c>
      <c r="B30" s="24">
        <f>'Sales Contract'!B30</f>
      </c>
      <c r="C30" s="74">
        <f>'Sales Contract'!C30&amp;" "&amp;'Sales Contract'!D30</f>
      </c>
      <c r="D30" s="75"/>
      <c r="E30" s="76"/>
      <c r="F30" s="76"/>
      <c r="G30" s="76"/>
      <c r="H30" s="14"/>
    </row>
    <row r="31" ht="39.95" customHeight="1" hidden="1" spans="1:8" x14ac:dyDescent="0.25">
      <c r="A31" s="60">
        <v>12</v>
      </c>
      <c r="B31" s="24">
        <f>'Sales Contract'!B31</f>
      </c>
      <c r="C31" s="74">
        <f>'Sales Contract'!C31&amp;" "&amp;'Sales Contract'!D31</f>
      </c>
      <c r="D31" s="75"/>
      <c r="E31" s="76"/>
      <c r="F31" s="76"/>
      <c r="G31" s="76"/>
      <c r="H31" s="14"/>
    </row>
    <row r="32" ht="39.95" customHeight="1" hidden="1" spans="1:8" x14ac:dyDescent="0.25">
      <c r="A32" s="60">
        <v>13</v>
      </c>
      <c r="B32" s="24">
        <f>'Sales Contract'!B32</f>
      </c>
      <c r="C32" s="74">
        <f>'Sales Contract'!C32&amp;" "&amp;'Sales Contract'!D32</f>
      </c>
      <c r="D32" s="75"/>
      <c r="E32" s="76"/>
      <c r="F32" s="76"/>
      <c r="G32" s="76"/>
      <c r="H32" s="14"/>
    </row>
    <row r="33" ht="39.95" customHeight="1" hidden="1" spans="1:8" x14ac:dyDescent="0.25">
      <c r="A33" s="60">
        <v>14</v>
      </c>
      <c r="B33" s="24">
        <f>'Sales Contract'!B33</f>
      </c>
      <c r="C33" s="74">
        <f>'Sales Contract'!C33&amp;" "&amp;'Sales Contract'!D33</f>
      </c>
      <c r="D33" s="75"/>
      <c r="E33" s="76"/>
      <c r="F33" s="76"/>
      <c r="G33" s="76"/>
      <c r="H33" s="14"/>
    </row>
    <row r="34" ht="39.95" customHeight="1" hidden="1" spans="1:8" x14ac:dyDescent="0.25">
      <c r="A34" s="60">
        <v>15</v>
      </c>
      <c r="B34" s="24">
        <f>'Sales Contract'!B34</f>
      </c>
      <c r="C34" s="74">
        <f>'Sales Contract'!C34&amp;" "&amp;'Sales Contract'!D34</f>
      </c>
      <c r="D34" s="75"/>
      <c r="E34" s="76"/>
      <c r="F34" s="76"/>
      <c r="G34" s="76"/>
      <c r="H34" s="14"/>
    </row>
    <row r="35" ht="39.95" customHeight="1" hidden="1" spans="1:8" x14ac:dyDescent="0.25">
      <c r="A35" s="60">
        <v>16</v>
      </c>
      <c r="B35" s="24">
        <f>'Sales Contract'!B35</f>
      </c>
      <c r="C35" s="74">
        <f>'Sales Contract'!C35&amp;" "&amp;'Sales Contract'!D35</f>
      </c>
      <c r="D35" s="75"/>
      <c r="E35" s="76"/>
      <c r="F35" s="76"/>
      <c r="G35" s="76"/>
      <c r="H35" s="14"/>
    </row>
    <row r="36" ht="39.95" customHeight="1" spans="1:8" x14ac:dyDescent="0.25">
      <c r="A36" s="60">
        <v>17</v>
      </c>
      <c r="B36" s="24">
        <f>'Sales Contract'!B36</f>
      </c>
      <c r="C36" s="74">
        <f>'Sales Contract'!C36&amp;" "&amp;'Sales Contract'!D36</f>
      </c>
      <c r="D36" s="75"/>
      <c r="E36" s="76"/>
      <c r="F36" s="76"/>
      <c r="G36" s="76"/>
      <c r="H36" s="14"/>
    </row>
    <row r="37" ht="39.95" customHeight="1" spans="1:8" x14ac:dyDescent="0.25">
      <c r="A37" s="60">
        <v>18</v>
      </c>
      <c r="B37" s="24">
        <f>'Sales Contract'!B37</f>
      </c>
      <c r="C37" s="74">
        <f>'Sales Contract'!C37&amp;" "&amp;'Sales Contract'!D37</f>
      </c>
      <c r="D37" s="75"/>
      <c r="E37" s="76"/>
      <c r="F37" s="76"/>
      <c r="G37" s="76"/>
      <c r="H37" s="14"/>
    </row>
    <row r="38" ht="39.95" customHeight="1" spans="1:8" x14ac:dyDescent="0.25">
      <c r="A38" s="60">
        <v>19</v>
      </c>
      <c r="B38" s="24">
        <f>'Sales Contract'!B38</f>
      </c>
      <c r="C38" s="74">
        <f>'Sales Contract'!C38&amp;" "&amp;'Sales Contract'!D38</f>
      </c>
      <c r="D38" s="75"/>
      <c r="E38" s="76"/>
      <c r="F38" s="76"/>
      <c r="G38" s="76"/>
      <c r="H38" s="14"/>
    </row>
    <row r="39" ht="39.95" customHeight="1" spans="1:8" x14ac:dyDescent="0.25">
      <c r="A39" s="60">
        <v>20</v>
      </c>
      <c r="B39" s="24">
        <f>'Sales Contract'!B39</f>
      </c>
      <c r="C39" s="74">
        <f>'Sales Contract'!C39&amp;" "&amp;'Sales Contract'!D39</f>
      </c>
      <c r="D39" s="75"/>
      <c r="E39" s="76"/>
      <c r="F39" s="76"/>
      <c r="G39" s="76"/>
      <c r="H39" s="14"/>
    </row>
    <row r="40" ht="39.95" customHeight="1" spans="1:8" x14ac:dyDescent="0.25">
      <c r="A40" s="60">
        <v>21</v>
      </c>
      <c r="B40" s="24">
        <f>'Sales Contract'!B40</f>
      </c>
      <c r="C40" s="74">
        <f>'Sales Contract'!C40&amp;" "&amp;'Sales Contract'!D40</f>
      </c>
      <c r="D40" s="75"/>
      <c r="E40" s="76"/>
      <c r="F40" s="76"/>
      <c r="G40" s="76"/>
      <c r="H40" s="14"/>
    </row>
    <row r="41" ht="39.95" customHeight="1" spans="1:8" x14ac:dyDescent="0.25">
      <c r="A41" s="60">
        <v>22</v>
      </c>
      <c r="B41" s="24">
        <f>'Sales Contract'!B41</f>
      </c>
      <c r="C41" s="74">
        <f>'Sales Contract'!C41&amp;" "&amp;'Sales Contract'!D41</f>
      </c>
      <c r="D41" s="75"/>
      <c r="E41" s="76"/>
      <c r="F41" s="76"/>
      <c r="G41" s="76"/>
      <c r="H41" s="14"/>
    </row>
    <row r="42" ht="39.95" customHeight="1" spans="1:8" x14ac:dyDescent="0.25">
      <c r="A42" s="60">
        <v>23</v>
      </c>
      <c r="B42" s="24">
        <f>'Sales Contract'!B42</f>
      </c>
      <c r="C42" s="74">
        <f>'Sales Contract'!C42&amp;" "&amp;'Sales Contract'!D42</f>
      </c>
      <c r="D42" s="75"/>
      <c r="E42" s="76"/>
      <c r="F42" s="76"/>
      <c r="G42" s="76"/>
      <c r="H42" s="14"/>
    </row>
    <row r="43" ht="39.95" customHeight="1" spans="1:8" x14ac:dyDescent="0.25">
      <c r="A43" s="60">
        <v>24</v>
      </c>
      <c r="B43" s="24">
        <f>'Sales Contract'!B43</f>
      </c>
      <c r="C43" s="74">
        <f>'Sales Contract'!C43&amp;" "&amp;'Sales Contract'!D43</f>
      </c>
      <c r="D43" s="75"/>
      <c r="E43" s="76"/>
      <c r="F43" s="76"/>
      <c r="G43" s="76"/>
      <c r="H43" s="14"/>
    </row>
    <row r="44" ht="39.95" customHeight="1" spans="1:8" x14ac:dyDescent="0.25">
      <c r="A44" s="60">
        <v>25</v>
      </c>
      <c r="B44" s="24">
        <f>'Sales Contract'!B44</f>
      </c>
      <c r="C44" s="74">
        <f>'Sales Contract'!C44&amp;" "&amp;'Sales Contract'!D44</f>
      </c>
      <c r="D44" s="75"/>
      <c r="E44" s="76"/>
      <c r="F44" s="76"/>
      <c r="G44" s="76"/>
      <c r="H44" s="14"/>
    </row>
    <row r="45" ht="39.95" customHeight="1" spans="1:8" x14ac:dyDescent="0.25">
      <c r="A45" s="60">
        <v>26</v>
      </c>
      <c r="B45" s="24">
        <f>'Sales Contract'!B45</f>
      </c>
      <c r="C45" s="74">
        <f>'Sales Contract'!C45&amp;" "&amp;'Sales Contract'!D45</f>
      </c>
      <c r="D45" s="75"/>
      <c r="E45" s="76"/>
      <c r="F45" s="76"/>
      <c r="G45" s="76"/>
      <c r="H45" s="14"/>
    </row>
    <row r="46" ht="39.95" customHeight="1" spans="1:8" x14ac:dyDescent="0.25">
      <c r="A46" s="60">
        <v>27</v>
      </c>
      <c r="B46" s="24">
        <f>'Sales Contract'!B46</f>
      </c>
      <c r="C46" s="74">
        <f>'Sales Contract'!C46&amp;" "&amp;'Sales Contract'!D46</f>
      </c>
      <c r="D46" s="75"/>
      <c r="E46" s="76"/>
      <c r="F46" s="76"/>
      <c r="G46" s="76"/>
      <c r="H46" s="14"/>
    </row>
    <row r="47" ht="39.95" customHeight="1" spans="1:8" x14ac:dyDescent="0.25">
      <c r="A47" s="60">
        <v>28</v>
      </c>
      <c r="B47" s="24">
        <f>'Sales Contract'!B47</f>
      </c>
      <c r="C47" s="74">
        <f>'Sales Contract'!C47&amp;" "&amp;'Sales Contract'!D47</f>
      </c>
      <c r="D47" s="75"/>
      <c r="E47" s="76"/>
      <c r="F47" s="76"/>
      <c r="G47" s="76"/>
      <c r="H47" s="14"/>
    </row>
    <row r="48" ht="39.95" customHeight="1" spans="1:8" x14ac:dyDescent="0.25">
      <c r="A48" s="60">
        <v>29</v>
      </c>
      <c r="B48" s="24">
        <f>'Sales Contract'!B48</f>
      </c>
      <c r="C48" s="74">
        <f>'Sales Contract'!C48&amp;" "&amp;'Sales Contract'!D48</f>
      </c>
      <c r="D48" s="75"/>
      <c r="E48" s="76"/>
      <c r="F48" s="76"/>
      <c r="G48" s="76"/>
      <c r="H48" s="14"/>
    </row>
    <row r="49" ht="39.95" customHeight="1" spans="1:8" x14ac:dyDescent="0.25">
      <c r="A49" s="60">
        <v>30</v>
      </c>
      <c r="B49" s="24">
        <f>'Sales Contract'!B49</f>
      </c>
      <c r="C49" s="74">
        <f>'Sales Contract'!C49&amp;" "&amp;'Sales Contract'!D49</f>
      </c>
      <c r="D49" s="75"/>
      <c r="E49" s="76"/>
      <c r="F49" s="76"/>
      <c r="G49" s="76"/>
      <c r="H49" s="14"/>
    </row>
    <row r="50" ht="39.95" customHeight="1" spans="1:8" x14ac:dyDescent="0.25">
      <c r="A50" s="60">
        <v>31</v>
      </c>
      <c r="B50" s="24">
        <f>'Sales Contract'!B50</f>
      </c>
      <c r="C50" s="74">
        <f>'Sales Contract'!C50&amp;" "&amp;'Sales Contract'!D50</f>
      </c>
      <c r="D50" s="75"/>
      <c r="E50" s="76"/>
      <c r="F50" s="76"/>
      <c r="G50" s="76"/>
      <c r="H50" s="14"/>
    </row>
    <row r="51" ht="39.95" customHeight="1" spans="1:8" x14ac:dyDescent="0.25">
      <c r="A51" s="60">
        <v>32</v>
      </c>
      <c r="B51" s="24">
        <f>'Sales Contract'!B51</f>
      </c>
      <c r="C51" s="74">
        <f>'Sales Contract'!C51&amp;" "&amp;'Sales Contract'!D51</f>
      </c>
      <c r="D51" s="75"/>
      <c r="E51" s="76"/>
      <c r="F51" s="76"/>
      <c r="G51" s="76"/>
      <c r="H51" s="14"/>
    </row>
    <row r="52" ht="39.95" customHeight="1" spans="1:8" x14ac:dyDescent="0.25">
      <c r="A52" s="60">
        <v>33</v>
      </c>
      <c r="B52" s="24">
        <f>'Sales Contract'!B52</f>
      </c>
      <c r="C52" s="74">
        <f>'Sales Contract'!C52&amp;" "&amp;'Sales Contract'!D52</f>
      </c>
      <c r="D52" s="75"/>
      <c r="E52" s="76"/>
      <c r="F52" s="76"/>
      <c r="G52" s="76"/>
      <c r="H52" s="14"/>
    </row>
    <row r="53" ht="39.95" customHeight="1" spans="1:8" x14ac:dyDescent="0.25">
      <c r="A53" s="60">
        <v>34</v>
      </c>
      <c r="B53" s="24">
        <f>'Sales Contract'!B53</f>
      </c>
      <c r="C53" s="74">
        <f>'Sales Contract'!C53&amp;" "&amp;'Sales Contract'!D53</f>
      </c>
      <c r="D53" s="75"/>
      <c r="E53" s="76"/>
      <c r="F53" s="76"/>
      <c r="G53" s="76"/>
      <c r="H53" s="14"/>
    </row>
    <row r="54" ht="39.95" customHeight="1" spans="1:8" x14ac:dyDescent="0.25">
      <c r="A54" s="60">
        <v>35</v>
      </c>
      <c r="B54" s="24">
        <f>'Sales Contract'!B54</f>
      </c>
      <c r="C54" s="74">
        <f>'Sales Contract'!C54&amp;" "&amp;'Sales Contract'!D54</f>
      </c>
      <c r="D54" s="75"/>
      <c r="E54" s="76"/>
      <c r="F54" s="76"/>
      <c r="G54" s="76"/>
      <c r="H54" s="14"/>
    </row>
    <row r="55" ht="39.95" customHeight="1" spans="1:8" x14ac:dyDescent="0.25">
      <c r="A55" s="60">
        <v>36</v>
      </c>
      <c r="B55" s="24">
        <f>'Sales Contract'!B55</f>
      </c>
      <c r="C55" s="74">
        <f>'Sales Contract'!C55&amp;" "&amp;'Sales Contract'!D55</f>
      </c>
      <c r="D55" s="75"/>
      <c r="E55" s="76"/>
      <c r="F55" s="76"/>
      <c r="G55" s="76"/>
      <c r="H55" s="14"/>
    </row>
    <row r="56" ht="39.95" customHeight="1" spans="1:8" x14ac:dyDescent="0.25">
      <c r="A56" s="60">
        <v>37</v>
      </c>
      <c r="B56" s="24">
        <f>'Sales Contract'!B56</f>
      </c>
      <c r="C56" s="74">
        <f>'Sales Contract'!C56&amp;" "&amp;'Sales Contract'!D56</f>
      </c>
      <c r="D56" s="75"/>
      <c r="E56" s="76"/>
      <c r="F56" s="76"/>
      <c r="G56" s="76"/>
      <c r="H56" s="14"/>
    </row>
    <row r="57" ht="39.95" customHeight="1" spans="1:8" x14ac:dyDescent="0.25">
      <c r="A57" s="60">
        <v>38</v>
      </c>
      <c r="B57" s="24">
        <f>'Sales Contract'!B57</f>
      </c>
      <c r="C57" s="74">
        <f>'Sales Contract'!C57&amp;" "&amp;'Sales Contract'!D57</f>
      </c>
      <c r="D57" s="75"/>
      <c r="E57" s="76"/>
      <c r="F57" s="76"/>
      <c r="G57" s="76"/>
      <c r="H57" s="14"/>
    </row>
    <row r="58" ht="39.95" customHeight="1" spans="1:8" x14ac:dyDescent="0.25">
      <c r="A58" s="60">
        <v>39</v>
      </c>
      <c r="B58" s="24">
        <f>'Sales Contract'!B58</f>
      </c>
      <c r="C58" s="74">
        <f>'Sales Contract'!C58&amp;" "&amp;'Sales Contract'!D58</f>
      </c>
      <c r="D58" s="75"/>
      <c r="E58" s="76"/>
      <c r="F58" s="76"/>
      <c r="G58" s="76"/>
      <c r="H58" s="14"/>
    </row>
    <row r="59" ht="39.95" customHeight="1" spans="1:8" x14ac:dyDescent="0.25">
      <c r="A59" s="60">
        <v>40</v>
      </c>
      <c r="B59" s="24">
        <f>'Sales Contract'!B59</f>
      </c>
      <c r="C59" s="74">
        <f>'Sales Contract'!C59&amp;" "&amp;'Sales Contract'!D59</f>
      </c>
      <c r="D59" s="75"/>
      <c r="E59" s="76"/>
      <c r="F59" s="76"/>
      <c r="G59" s="76"/>
      <c r="H59" s="14"/>
    </row>
    <row r="60" ht="39.95" customHeight="1" spans="1:8" x14ac:dyDescent="0.25">
      <c r="A60" s="60">
        <v>41</v>
      </c>
      <c r="B60" s="24">
        <f>'Sales Contract'!B60</f>
      </c>
      <c r="C60" s="74">
        <f>'Sales Contract'!C60&amp;" "&amp;'Sales Contract'!D60</f>
      </c>
      <c r="D60" s="75"/>
      <c r="E60" s="76"/>
      <c r="F60" s="76"/>
      <c r="G60" s="76"/>
      <c r="H60" s="14"/>
    </row>
    <row r="61" ht="39.95" customHeight="1" spans="1:8" x14ac:dyDescent="0.25">
      <c r="A61" s="60">
        <v>42</v>
      </c>
      <c r="B61" s="24">
        <f>'Sales Contract'!B61</f>
      </c>
      <c r="C61" s="74">
        <f>'Sales Contract'!C61&amp;" "&amp;'Sales Contract'!D61</f>
      </c>
      <c r="D61" s="75"/>
      <c r="E61" s="76"/>
      <c r="F61" s="76"/>
      <c r="G61" s="76"/>
      <c r="H61" s="14"/>
    </row>
    <row r="62" ht="39.95" customHeight="1" spans="1:8" x14ac:dyDescent="0.25">
      <c r="A62" s="60">
        <v>43</v>
      </c>
      <c r="B62" s="24">
        <f>'Sales Contract'!B62</f>
      </c>
      <c r="C62" s="74">
        <f>'Sales Contract'!C62&amp;" "&amp;'Sales Contract'!D62</f>
      </c>
      <c r="D62" s="75"/>
      <c r="E62" s="76"/>
      <c r="F62" s="76"/>
      <c r="G62" s="76"/>
      <c r="H62" s="14"/>
    </row>
    <row r="63" ht="39.95" customHeight="1" spans="1:8" x14ac:dyDescent="0.25">
      <c r="A63" s="60">
        <v>44</v>
      </c>
      <c r="B63" s="24">
        <f>'Sales Contract'!B63</f>
      </c>
      <c r="C63" s="74">
        <f>'Sales Contract'!C63&amp;" "&amp;'Sales Contract'!D63</f>
      </c>
      <c r="D63" s="75"/>
      <c r="E63" s="76"/>
      <c r="F63" s="76"/>
      <c r="G63" s="76"/>
      <c r="H63" s="14"/>
    </row>
    <row r="64" ht="39.95" customHeight="1" spans="1:8" x14ac:dyDescent="0.25">
      <c r="A64" s="60">
        <v>45</v>
      </c>
      <c r="B64" s="24">
        <f>'Sales Contract'!B64</f>
      </c>
      <c r="C64" s="74">
        <f>'Sales Contract'!C64&amp;" "&amp;'Sales Contract'!D64</f>
      </c>
      <c r="D64" s="75"/>
      <c r="E64" s="76"/>
      <c r="F64" s="76"/>
      <c r="G64" s="76"/>
      <c r="H64" s="14"/>
    </row>
    <row r="65" ht="39.95" customHeight="1" spans="1:8" x14ac:dyDescent="0.25">
      <c r="A65" s="60">
        <v>46</v>
      </c>
      <c r="B65" s="24">
        <f>'Sales Contract'!B65</f>
      </c>
      <c r="C65" s="74">
        <f>'Sales Contract'!C65&amp;" "&amp;'Sales Contract'!D65</f>
      </c>
      <c r="D65" s="75"/>
      <c r="E65" s="76"/>
      <c r="F65" s="76"/>
      <c r="G65" s="76"/>
      <c r="H65" s="14"/>
    </row>
    <row r="66" ht="39.95" customHeight="1" spans="1:8" x14ac:dyDescent="0.25">
      <c r="A66" s="60">
        <v>47</v>
      </c>
      <c r="B66" s="24">
        <f>'Sales Contract'!B66</f>
      </c>
      <c r="C66" s="74">
        <f>'Sales Contract'!C66&amp;" "&amp;'Sales Contract'!D66</f>
      </c>
      <c r="D66" s="75"/>
      <c r="E66" s="76"/>
      <c r="F66" s="76"/>
      <c r="G66" s="76"/>
      <c r="H66" s="14"/>
    </row>
    <row r="67" ht="39.95" customHeight="1" spans="1:8" x14ac:dyDescent="0.25">
      <c r="A67" s="60">
        <v>48</v>
      </c>
      <c r="B67" s="24">
        <f>'Sales Contract'!B67</f>
      </c>
      <c r="C67" s="74">
        <f>'Sales Contract'!C67&amp;" "&amp;'Sales Contract'!D67</f>
      </c>
      <c r="D67" s="75"/>
      <c r="E67" s="76"/>
      <c r="F67" s="76"/>
      <c r="G67" s="76"/>
      <c r="H67" s="14"/>
    </row>
    <row r="68" ht="39.95" customHeight="1" spans="1:8" x14ac:dyDescent="0.25">
      <c r="A68" s="60">
        <v>49</v>
      </c>
      <c r="B68" s="24">
        <f>'Sales Contract'!B68</f>
      </c>
      <c r="C68" s="74">
        <f>'Sales Contract'!C68&amp;" "&amp;'Sales Contract'!D68</f>
      </c>
      <c r="D68" s="75"/>
      <c r="E68" s="76"/>
      <c r="F68" s="76"/>
      <c r="G68" s="76"/>
      <c r="H68" s="14"/>
    </row>
    <row r="69" ht="39.95" customHeight="1" spans="1:8" x14ac:dyDescent="0.25">
      <c r="A69" s="60">
        <v>50</v>
      </c>
      <c r="B69" s="24">
        <f>'Sales Contract'!B69</f>
      </c>
      <c r="C69" s="74">
        <f>'Sales Contract'!C69&amp;" "&amp;'Sales Contract'!D69</f>
      </c>
      <c r="D69" s="75"/>
      <c r="E69" s="76"/>
      <c r="F69" s="76"/>
      <c r="G69" s="76"/>
      <c r="H69" s="14"/>
    </row>
    <row r="70" ht="39.95" customHeight="1" spans="1:8" x14ac:dyDescent="0.25">
      <c r="A70" s="60">
        <v>51</v>
      </c>
      <c r="B70" s="24">
        <f>'Sales Contract'!B70</f>
      </c>
      <c r="C70" s="74">
        <f>'Sales Contract'!C70&amp;" "&amp;'Sales Contract'!D70</f>
      </c>
      <c r="D70" s="75"/>
      <c r="E70" s="76"/>
      <c r="F70" s="76"/>
      <c r="G70" s="76"/>
      <c r="H70" s="14"/>
    </row>
    <row r="71" ht="39.95" customHeight="1" spans="1:8" x14ac:dyDescent="0.25">
      <c r="A71" s="60">
        <v>52</v>
      </c>
      <c r="B71" s="24">
        <f>'Sales Contract'!B71</f>
      </c>
      <c r="C71" s="74">
        <f>'Sales Contract'!C71&amp;" "&amp;'Sales Contract'!D71</f>
      </c>
      <c r="D71" s="75"/>
      <c r="E71" s="76"/>
      <c r="F71" s="76"/>
      <c r="G71" s="76"/>
      <c r="H71" s="14"/>
    </row>
    <row r="72" ht="39.95" customHeight="1" spans="1:8" x14ac:dyDescent="0.25">
      <c r="A72" s="60">
        <v>53</v>
      </c>
      <c r="B72" s="24">
        <f>'Sales Contract'!B72</f>
      </c>
      <c r="C72" s="74">
        <f>'Sales Contract'!C72&amp;" "&amp;'Sales Contract'!D72</f>
      </c>
      <c r="D72" s="75"/>
      <c r="E72" s="76"/>
      <c r="F72" s="76"/>
      <c r="G72" s="76"/>
      <c r="H72" s="14"/>
    </row>
    <row r="73" ht="39.95" customHeight="1" spans="1:8" x14ac:dyDescent="0.25">
      <c r="A73" s="60">
        <v>54</v>
      </c>
      <c r="B73" s="24">
        <f>'Sales Contract'!B73</f>
      </c>
      <c r="C73" s="74">
        <f>'Sales Contract'!C73&amp;" "&amp;'Sales Contract'!D73</f>
      </c>
      <c r="D73" s="75"/>
      <c r="E73" s="76"/>
      <c r="F73" s="76"/>
      <c r="G73" s="76"/>
      <c r="H73" s="14"/>
    </row>
    <row r="74" ht="39.95" customHeight="1" spans="1:8" x14ac:dyDescent="0.25">
      <c r="A74" s="60">
        <v>55</v>
      </c>
      <c r="B74" s="24">
        <f>'Sales Contract'!B74</f>
      </c>
      <c r="C74" s="74">
        <f>'Sales Contract'!C74&amp;" "&amp;'Sales Contract'!D74</f>
      </c>
      <c r="D74" s="75"/>
      <c r="E74" s="76"/>
      <c r="F74" s="76"/>
      <c r="G74" s="76"/>
      <c r="H74" s="14"/>
    </row>
    <row r="75" ht="39.95" customHeight="1" spans="1:8" x14ac:dyDescent="0.25">
      <c r="A75" s="60">
        <v>56</v>
      </c>
      <c r="B75" s="24">
        <f>'Sales Contract'!B75</f>
      </c>
      <c r="C75" s="74">
        <f>'Sales Contract'!C75&amp;" "&amp;'Sales Contract'!D75</f>
      </c>
      <c r="D75" s="75"/>
      <c r="E75" s="76"/>
      <c r="F75" s="76"/>
      <c r="G75" s="76"/>
      <c r="H75" s="14"/>
    </row>
    <row r="76" ht="39.95" customHeight="1" spans="1:8" x14ac:dyDescent="0.25">
      <c r="A76" s="60">
        <v>57</v>
      </c>
      <c r="B76" s="24">
        <f>'Sales Contract'!B76</f>
      </c>
      <c r="C76" s="74">
        <f>'Sales Contract'!C76&amp;" "&amp;'Sales Contract'!D76</f>
      </c>
      <c r="D76" s="75"/>
      <c r="E76" s="76"/>
      <c r="F76" s="76"/>
      <c r="G76" s="76"/>
      <c r="H76" s="14"/>
    </row>
    <row r="77" ht="39.95" customHeight="1" spans="1:8" x14ac:dyDescent="0.25">
      <c r="A77" s="60">
        <v>58</v>
      </c>
      <c r="B77" s="24">
        <f>'Sales Contract'!B77</f>
      </c>
      <c r="C77" s="74">
        <f>'Sales Contract'!C77&amp;" "&amp;'Sales Contract'!D77</f>
      </c>
      <c r="D77" s="75"/>
      <c r="E77" s="76"/>
      <c r="F77" s="76"/>
      <c r="G77" s="76"/>
      <c r="H77" s="14"/>
    </row>
    <row r="78" ht="39.95" customHeight="1" spans="1:8" x14ac:dyDescent="0.25">
      <c r="A78" s="60">
        <v>59</v>
      </c>
      <c r="B78" s="24">
        <f>'Sales Contract'!B78</f>
      </c>
      <c r="C78" s="74">
        <f>'Sales Contract'!C78&amp;" "&amp;'Sales Contract'!D78</f>
      </c>
      <c r="D78" s="75"/>
      <c r="E78" s="76"/>
      <c r="F78" s="76"/>
      <c r="G78" s="76"/>
      <c r="H78" s="14"/>
    </row>
    <row r="79" ht="39.95" customHeight="1" spans="1:8" x14ac:dyDescent="0.25">
      <c r="A79" s="60">
        <v>60</v>
      </c>
      <c r="B79" s="24">
        <f>'Sales Contract'!B79</f>
      </c>
      <c r="C79" s="74">
        <f>'Sales Contract'!C79&amp;" "&amp;'Sales Contract'!D79</f>
      </c>
      <c r="D79" s="75"/>
      <c r="E79" s="76"/>
      <c r="F79" s="76"/>
      <c r="G79" s="76"/>
      <c r="H79" s="14"/>
    </row>
    <row r="80" ht="39.95" customHeight="1" spans="1:7" x14ac:dyDescent="0.25">
      <c r="A80" s="59" t="s">
        <v>26</v>
      </c>
      <c r="B80" s="59"/>
      <c r="C80" s="59"/>
      <c r="D80" s="77">
        <f>SUM(D20:D79)</f>
      </c>
      <c r="E80" s="78">
        <f>SUM(E20:E79)</f>
      </c>
      <c r="F80" s="78">
        <f>SUM(F20:F79)</f>
      </c>
      <c r="G80" s="78">
        <f>SUM(G20:G79)</f>
      </c>
    </row>
    <row r="81" ht="39.95" customHeight="1" spans="1:7" x14ac:dyDescent="0.25">
      <c r="A81" s="64"/>
      <c r="B81" s="64"/>
      <c r="C81" s="64"/>
      <c r="D81" s="79"/>
      <c r="E81" s="79"/>
      <c r="F81" s="79"/>
      <c r="G81" s="79"/>
    </row>
    <row r="82" ht="39.95" customHeight="1" spans="1:7" x14ac:dyDescent="0.25">
      <c r="A82" s="64"/>
      <c r="B82" s="64"/>
      <c r="C82" s="64"/>
      <c r="D82" s="79"/>
      <c r="E82" s="79"/>
      <c r="F82" s="79"/>
      <c r="G82" s="79"/>
    </row>
    <row r="83" ht="39.95" customHeight="1" spans="1:7" x14ac:dyDescent="0.25">
      <c r="A83" s="64"/>
      <c r="B83" s="64"/>
      <c r="C83" s="64"/>
      <c r="D83" s="79"/>
      <c r="E83" s="79"/>
      <c r="F83" s="79"/>
      <c r="G83" s="79"/>
    </row>
    <row r="84" ht="39.95" customHeight="1" spans="1:7" x14ac:dyDescent="0.25">
      <c r="A84" s="64"/>
      <c r="B84" s="64"/>
      <c r="C84" s="64"/>
      <c r="D84" s="79"/>
      <c r="E84" s="79"/>
      <c r="F84" s="79"/>
      <c r="G84" s="79"/>
    </row>
    <row r="85" ht="39.95" customHeight="1" spans="1:7" x14ac:dyDescent="0.25">
      <c r="A85" s="64"/>
      <c r="B85" s="64"/>
      <c r="C85" s="64"/>
      <c r="D85" s="79"/>
      <c r="E85" s="79"/>
      <c r="F85" s="79"/>
      <c r="G85" s="79"/>
    </row>
    <row r="86" ht="39.95" customHeight="1" spans="1:7" x14ac:dyDescent="0.25">
      <c r="A86" s="64"/>
      <c r="B86" s="64"/>
      <c r="C86" s="64"/>
      <c r="D86" s="79"/>
      <c r="E86" s="79"/>
      <c r="F86" s="79"/>
      <c r="G86" s="79"/>
    </row>
    <row r="87" ht="39.95" customHeight="1" spans="1:7" x14ac:dyDescent="0.25">
      <c r="A87" s="64"/>
      <c r="B87" s="64"/>
      <c r="C87" s="64"/>
      <c r="D87" s="79"/>
      <c r="E87" s="79"/>
      <c r="F87" s="79"/>
      <c r="G87" s="79"/>
    </row>
    <row r="88" ht="39.95" customHeight="1" spans="1:7" x14ac:dyDescent="0.25">
      <c r="A88" s="64"/>
      <c r="B88" s="64"/>
      <c r="C88" s="64"/>
      <c r="D88" s="79"/>
      <c r="E88" s="79"/>
      <c r="F88" s="79"/>
      <c r="G88" s="79"/>
    </row>
    <row r="89" ht="39.95" customHeight="1" spans="1:7" x14ac:dyDescent="0.25">
      <c r="A89" s="64"/>
      <c r="B89" s="64"/>
      <c r="C89" s="64"/>
      <c r="D89" s="79"/>
      <c r="E89" s="79"/>
      <c r="F89" s="79"/>
      <c r="G89" s="79"/>
    </row>
    <row r="90" ht="39.95" customHeight="1" spans="1:7" x14ac:dyDescent="0.25">
      <c r="A90" s="64"/>
      <c r="B90" s="64"/>
      <c r="C90" s="64"/>
      <c r="D90" s="79"/>
      <c r="E90" s="79"/>
      <c r="F90" s="79"/>
      <c r="G90" s="79"/>
    </row>
    <row r="91" spans="1:7" x14ac:dyDescent="0.25">
      <c r="A91" s="14"/>
      <c r="B91" s="14"/>
      <c r="C91" s="14"/>
      <c r="D91" s="14"/>
      <c r="E91" s="14"/>
      <c r="F91" s="14"/>
      <c r="G91" s="14"/>
    </row>
    <row r="95" spans="1:7" x14ac:dyDescent="0.25">
      <c r="A95" s="58" t="s">
        <v>50</v>
      </c>
      <c r="B95" s="58"/>
      <c r="C95" s="58"/>
      <c r="D95" s="58"/>
      <c r="E95" s="58"/>
      <c r="F95" s="58"/>
      <c r="G95" s="58"/>
    </row>
    <row r="96" spans="1:7" x14ac:dyDescent="0.25">
      <c r="A96" s="64" t="s">
        <v>65</v>
      </c>
      <c r="B96" s="64"/>
      <c r="C96" s="64"/>
      <c r="D96" s="64"/>
      <c r="E96" s="64"/>
      <c r="F96" s="64"/>
      <c r="G96" s="64"/>
    </row>
  </sheetData>
  <mergeCells count="4">
    <mergeCell ref="A8:G8"/>
    <mergeCell ref="A80:C80"/>
    <mergeCell ref="A95:G95"/>
    <mergeCell ref="A96:G96"/>
  </mergeCells>
  <hyperlinks>
    <hyperlink ref="A6" r:id="rId1"/>
  </hyperlinks>
  <printOptions horizontalCentered="1"/>
  <pageMargins left="0.75" right="0.75" top="1" bottom="1" header="0.5" footer="0.5"/>
  <pageSetup paperSize="9" orientation="portrait" horizontalDpi="4294967295" verticalDpi="4294967295" scale="65" fitToWidth="1" fitToHeight="0" firstPageNumber="1" useFirstPageNumber="1" copies="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Views>
    <sheetView workbookViewId="0" showGridLines="0" zoomScale="100" zoomScaleNormal="100" view="pageBreakPreview">
      <selection activeCell="A30" sqref="A30"/>
    </sheetView>
  </sheetViews>
  <sheetFormatPr defaultRowHeight="15" outlineLevelRow="0" outlineLevelCol="5" x14ac:dyDescent="0" defaultColWidth="9.14285714285714"/>
  <cols>
    <col min="1" max="1" width="12.6952380952381" style="14" customWidth="1"/>
    <col min="2" max="2" width="43.9047619047619" style="14" customWidth="1"/>
    <col min="3" max="5" width="21" style="14" customWidth="1"/>
    <col min="6" max="6" width="21" style="47" customWidth="1"/>
    <col min="7" max="16384" width="9.14285714285714" style="14" customWidth="1"/>
  </cols>
  <sheetData>
    <row r="1" ht="47" customHeight="1" spans="1:4" x14ac:dyDescent="0.25">
      <c r="A1" s="48" t="s">
        <v>50</v>
      </c>
      <c r="B1" s="48"/>
      <c r="C1" s="48"/>
      <c r="D1" s="48"/>
    </row>
    <row r="2" ht="50" customHeight="1" hidden="1" spans="1:6" x14ac:dyDescent="0.25">
      <c r="A2" s="49" t="s">
        <v>51</v>
      </c>
      <c r="F2" s="50"/>
    </row>
    <row r="3" spans="1:6" x14ac:dyDescent="0.25">
      <c r="A3" s="14" t="s">
        <v>52</v>
      </c>
      <c r="F3" s="14"/>
    </row>
    <row r="4" ht="18" customHeight="1" spans="1:6" x14ac:dyDescent="0.25">
      <c r="A4" s="51" t="s">
        <v>7</v>
      </c>
      <c r="B4" s="51"/>
      <c r="C4" s="51"/>
      <c r="D4" s="52"/>
      <c r="E4" s="52"/>
      <c r="F4" s="14"/>
    </row>
    <row r="5" hidden="1" spans="1:6" x14ac:dyDescent="0.25">
      <c r="A5" s="53" t="s">
        <v>53</v>
      </c>
      <c r="B5" s="52"/>
      <c r="C5" s="52"/>
      <c r="D5" s="52"/>
      <c r="E5" s="52"/>
      <c r="F5" s="52"/>
    </row>
    <row r="6" spans="1:6" x14ac:dyDescent="0.25">
      <c r="A6" s="52" t="s">
        <v>54</v>
      </c>
      <c r="B6" s="52"/>
      <c r="C6" s="52"/>
      <c r="D6" s="52"/>
      <c r="E6" s="52"/>
      <c r="F6" s="52"/>
    </row>
    <row r="7" spans="1:6" x14ac:dyDescent="0.25">
      <c r="A7" s="52" t="s">
        <v>55</v>
      </c>
      <c r="B7" s="52"/>
      <c r="C7" s="52"/>
      <c r="D7" s="52"/>
      <c r="E7" s="52"/>
      <c r="F7" s="52"/>
    </row>
    <row r="8" spans="1:6" x14ac:dyDescent="0.25">
      <c r="A8" s="54"/>
      <c r="B8" s="54"/>
      <c r="C8" s="54"/>
      <c r="D8" s="54"/>
      <c r="E8" s="54"/>
      <c r="F8" s="54"/>
    </row>
    <row r="9" ht="42.95" customHeight="1" spans="1:6" x14ac:dyDescent="0.25">
      <c r="A9" s="55" t="s">
        <v>56</v>
      </c>
      <c r="B9" s="55"/>
      <c r="C9" s="55"/>
      <c r="D9" s="55"/>
      <c r="E9" s="55"/>
      <c r="F9" s="55"/>
    </row>
    <row r="10" spans="1:6" x14ac:dyDescent="0.25">
      <c r="A10" s="56"/>
      <c r="B10" s="56"/>
      <c r="C10" s="56"/>
      <c r="D10" s="56"/>
      <c r="E10" s="56"/>
      <c r="F10" s="56"/>
    </row>
    <row r="11" ht="15.95" customHeight="1" spans="1:5" x14ac:dyDescent="0.25">
      <c r="A11" s="39" t="s">
        <v>57</v>
      </c>
      <c r="B11" s="14" t="str">
        <f>'Sales Contract'!B11</f>
        <v>CSQUARE STEEL CO., LIMITED</v>
      </c>
      <c r="D11" s="57" t="s">
        <v>58</v>
      </c>
      <c r="E11" s="47" t="str">
        <f>'Sales Contract'!E3</f>
        <v>HKG26-024-B5&amp;005-B4</v>
      </c>
    </row>
    <row r="12" spans="1:5" x14ac:dyDescent="0.25">
      <c r="A12" s="39" t="s">
        <v>59</v>
      </c>
      <c r="B12" s="14" t="s">
        <v>60</v>
      </c>
      <c r="D12" s="57" t="s">
        <v>61</v>
      </c>
      <c r="E12" s="7"/>
    </row>
    <row r="13" spans="1:5" x14ac:dyDescent="0.25">
      <c r="A13" s="39"/>
      <c r="B13" s="14" t="s">
        <v>62</v>
      </c>
      <c r="D13" s="57"/>
      <c r="E13" s="47"/>
    </row>
    <row r="14" spans="1:2" x14ac:dyDescent="0.25">
      <c r="A14" s="39" t="s">
        <v>9</v>
      </c>
      <c r="B14" s="14" t="s">
        <v>63</v>
      </c>
    </row>
    <row r="15" spans="1:2" x14ac:dyDescent="0.25">
      <c r="A15" s="39" t="s">
        <v>10</v>
      </c>
      <c r="B15" s="14" t="s">
        <v>64</v>
      </c>
    </row>
    <row r="17" ht="17" customHeight="1" spans="1:6" x14ac:dyDescent="0.25">
      <c r="A17" s="58"/>
      <c r="B17" s="58"/>
      <c r="C17" s="58"/>
      <c r="D17" s="58"/>
      <c r="E17" s="58"/>
      <c r="F17" s="58"/>
    </row>
    <row r="18" ht="13" customHeight="1" spans="1:6" x14ac:dyDescent="0.25">
      <c r="A18" s="58"/>
      <c r="B18" s="58"/>
      <c r="C18" s="58"/>
      <c r="D18" s="58"/>
      <c r="E18" s="58"/>
      <c r="F18" s="58"/>
    </row>
    <row r="19" ht="39.95" customHeight="1" spans="1:6" x14ac:dyDescent="0.25">
      <c r="A19" s="17" t="s">
        <v>13</v>
      </c>
      <c r="B19" s="59" t="s">
        <v>14</v>
      </c>
      <c r="C19" s="17" t="s">
        <v>15</v>
      </c>
      <c r="D19" s="17" t="s">
        <v>16</v>
      </c>
      <c r="E19" s="17" t="s">
        <v>17</v>
      </c>
      <c r="F19" s="17" t="s">
        <v>26</v>
      </c>
    </row>
    <row r="20" ht="39.95" customHeight="1" spans="1:6" x14ac:dyDescent="0.25">
      <c r="A20" s="60">
        <v>1</v>
      </c>
      <c r="B20" s="24">
        <f>'Sales Contract'!B20</f>
      </c>
      <c r="C20" s="26">
        <f>'Sales Contract'!C20</f>
      </c>
      <c r="D20" s="26">
        <f>'Sales Contract'!D20</f>
      </c>
      <c r="E20" s="26">
        <f>'Sales Contract'!E20</f>
      </c>
      <c r="F20" s="26">
        <f>'Sales Contract'!F20</f>
      </c>
    </row>
    <row r="21" ht="39.95" customHeight="1" spans="1:6" x14ac:dyDescent="0.25">
      <c r="A21" s="60">
        <v>2</v>
      </c>
      <c r="B21" s="24">
        <f>'Sales Contract'!B21</f>
      </c>
      <c r="C21" s="26">
        <f>'Sales Contract'!C21</f>
      </c>
      <c r="D21" s="26">
        <f>'Sales Contract'!D21</f>
      </c>
      <c r="E21" s="26">
        <f>'Sales Contract'!E21</f>
      </c>
      <c r="F21" s="26">
        <f>'Sales Contract'!F21</f>
      </c>
    </row>
    <row r="22" ht="39.95" customHeight="1" spans="1:6" x14ac:dyDescent="0.25">
      <c r="A22" s="60">
        <v>3</v>
      </c>
      <c r="B22" s="24">
        <f>'Sales Contract'!B22</f>
      </c>
      <c r="C22" s="26">
        <f>'Sales Contract'!C22</f>
      </c>
      <c r="D22" s="26">
        <f>'Sales Contract'!D22</f>
      </c>
      <c r="E22" s="26">
        <f>'Sales Contract'!E22</f>
      </c>
      <c r="F22" s="26">
        <f>'Sales Contract'!F22</f>
      </c>
    </row>
    <row r="23" ht="39.95" customHeight="1" spans="1:6" x14ac:dyDescent="0.25">
      <c r="A23" s="60">
        <v>4</v>
      </c>
      <c r="B23" s="24">
        <f>'Sales Contract'!B23</f>
      </c>
      <c r="C23" s="26">
        <f>'Sales Contract'!C23</f>
      </c>
      <c r="D23" s="26">
        <f>'Sales Contract'!D23</f>
      </c>
      <c r="E23" s="26">
        <f>'Sales Contract'!E23</f>
      </c>
      <c r="F23" s="26">
        <f>'Sales Contract'!F23</f>
      </c>
    </row>
    <row r="24" ht="39.95" customHeight="1" spans="1:6" x14ac:dyDescent="0.25">
      <c r="A24" s="60">
        <v>5</v>
      </c>
      <c r="B24" s="24">
        <f>'Sales Contract'!B24</f>
      </c>
      <c r="C24" s="26">
        <f>'Sales Contract'!C24</f>
      </c>
      <c r="D24" s="26">
        <f>'Sales Contract'!D24</f>
      </c>
      <c r="E24" s="26">
        <f>'Sales Contract'!E24</f>
      </c>
      <c r="F24" s="26">
        <f>'Sales Contract'!F24</f>
      </c>
    </row>
    <row r="25" ht="39.95" customHeight="1" spans="1:6" x14ac:dyDescent="0.25">
      <c r="A25" s="60">
        <v>6</v>
      </c>
      <c r="B25" s="24">
        <f>'Sales Contract'!B25</f>
      </c>
      <c r="C25" s="26">
        <f>'Sales Contract'!C25</f>
      </c>
      <c r="D25" s="26">
        <f>'Sales Contract'!D25</f>
      </c>
      <c r="E25" s="26">
        <f>'Sales Contract'!E25</f>
      </c>
      <c r="F25" s="26">
        <f>'Sales Contract'!F25</f>
      </c>
    </row>
    <row r="26" ht="39.95" customHeight="1" spans="1:6" x14ac:dyDescent="0.25">
      <c r="A26" s="60">
        <v>7</v>
      </c>
      <c r="B26" s="24">
        <f>'Sales Contract'!B26</f>
      </c>
      <c r="C26" s="26">
        <f>'Sales Contract'!C26</f>
      </c>
      <c r="D26" s="26">
        <f>'Sales Contract'!D26</f>
      </c>
      <c r="E26" s="26">
        <f>'Sales Contract'!E26</f>
      </c>
      <c r="F26" s="26">
        <f>'Sales Contract'!F26</f>
      </c>
    </row>
    <row r="27" ht="39.95" customHeight="1" spans="1:6" x14ac:dyDescent="0.25">
      <c r="A27" s="60">
        <v>8</v>
      </c>
      <c r="B27" s="24">
        <f>'Sales Contract'!B27</f>
      </c>
      <c r="C27" s="26">
        <f>'Sales Contract'!C27</f>
      </c>
      <c r="D27" s="26">
        <f>'Sales Contract'!D27</f>
      </c>
      <c r="E27" s="26">
        <f>'Sales Contract'!E27</f>
      </c>
      <c r="F27" s="26">
        <f>'Sales Contract'!F27</f>
      </c>
    </row>
    <row r="28" ht="39.95" customHeight="1" spans="1:6" x14ac:dyDescent="0.25">
      <c r="A28" s="60">
        <v>9</v>
      </c>
      <c r="B28" s="24">
        <f>'Sales Contract'!B28</f>
      </c>
      <c r="C28" s="26">
        <f>'Sales Contract'!C28</f>
      </c>
      <c r="D28" s="26">
        <f>'Sales Contract'!D28</f>
      </c>
      <c r="E28" s="26">
        <f>'Sales Contract'!E28</f>
      </c>
      <c r="F28" s="26">
        <f>'Sales Contract'!F28</f>
      </c>
    </row>
    <row r="29" ht="39.95" customHeight="1" spans="1:6" x14ac:dyDescent="0.25">
      <c r="A29" s="60">
        <v>10</v>
      </c>
      <c r="B29" s="24">
        <f>'Sales Contract'!B29</f>
      </c>
      <c r="C29" s="26">
        <f>'Sales Contract'!C29</f>
      </c>
      <c r="D29" s="26">
        <f>'Sales Contract'!D29</f>
      </c>
      <c r="E29" s="26">
        <f>'Sales Contract'!E29</f>
      </c>
      <c r="F29" s="26">
        <f>'Sales Contract'!F29</f>
      </c>
    </row>
    <row r="30" ht="39.95" customHeight="1" hidden="1" spans="1:6" x14ac:dyDescent="0.25">
      <c r="A30" s="60">
        <v>11</v>
      </c>
      <c r="B30" s="24">
        <f>'Sales Contract'!B30</f>
      </c>
      <c r="C30" s="26">
        <f>'Sales Contract'!C30</f>
      </c>
      <c r="D30" s="26">
        <f>'Sales Contract'!D30</f>
      </c>
      <c r="E30" s="26">
        <f>'Sales Contract'!E30</f>
      </c>
      <c r="F30" s="26">
        <f>'Sales Contract'!F30</f>
      </c>
    </row>
    <row r="31" ht="39.95" customHeight="1" hidden="1" spans="1:6" x14ac:dyDescent="0.25">
      <c r="A31" s="60">
        <v>12</v>
      </c>
      <c r="B31" s="24">
        <f>'Sales Contract'!B31</f>
      </c>
      <c r="C31" s="26">
        <f>'Sales Contract'!C31</f>
      </c>
      <c r="D31" s="26">
        <f>'Sales Contract'!D31</f>
      </c>
      <c r="E31" s="26">
        <f>'Sales Contract'!E31</f>
      </c>
      <c r="F31" s="26">
        <f>'Sales Contract'!F31</f>
      </c>
    </row>
    <row r="32" ht="39.95" customHeight="1" hidden="1" spans="1:6" x14ac:dyDescent="0.25">
      <c r="A32" s="60">
        <v>13</v>
      </c>
      <c r="B32" s="24">
        <f>'Sales Contract'!B32</f>
      </c>
      <c r="C32" s="26">
        <f>'Sales Contract'!C32</f>
      </c>
      <c r="D32" s="26">
        <f>'Sales Contract'!D32</f>
      </c>
      <c r="E32" s="26">
        <f>'Sales Contract'!E32</f>
      </c>
      <c r="F32" s="26">
        <f>'Sales Contract'!F32</f>
      </c>
    </row>
    <row r="33" ht="39.95" customHeight="1" hidden="1" spans="1:6" x14ac:dyDescent="0.25">
      <c r="A33" s="60">
        <v>14</v>
      </c>
      <c r="B33" s="24">
        <f>'Sales Contract'!B33</f>
      </c>
      <c r="C33" s="26">
        <f>'Sales Contract'!C33</f>
      </c>
      <c r="D33" s="26">
        <f>'Sales Contract'!D33</f>
      </c>
      <c r="E33" s="26">
        <f>'Sales Contract'!E33</f>
      </c>
      <c r="F33" s="26">
        <f>'Sales Contract'!F33</f>
      </c>
    </row>
    <row r="34" ht="39.95" customHeight="1" hidden="1" spans="1:6" x14ac:dyDescent="0.25">
      <c r="A34" s="60">
        <v>15</v>
      </c>
      <c r="B34" s="24">
        <f>'Sales Contract'!B34</f>
      </c>
      <c r="C34" s="26">
        <f>'Sales Contract'!C34</f>
      </c>
      <c r="D34" s="26">
        <f>'Sales Contract'!D34</f>
      </c>
      <c r="E34" s="26">
        <f>'Sales Contract'!E34</f>
      </c>
      <c r="F34" s="26">
        <f>'Sales Contract'!F34</f>
      </c>
    </row>
    <row r="35" ht="39.95" customHeight="1" hidden="1" spans="1:6" x14ac:dyDescent="0.25">
      <c r="A35" s="60">
        <v>16</v>
      </c>
      <c r="B35" s="24">
        <f>'Sales Contract'!B35</f>
      </c>
      <c r="C35" s="26">
        <f>'Sales Contract'!C35</f>
      </c>
      <c r="D35" s="26">
        <f>'Sales Contract'!D35</f>
      </c>
      <c r="E35" s="26">
        <f>'Sales Contract'!E35</f>
      </c>
      <c r="F35" s="26">
        <f>'Sales Contract'!F35</f>
      </c>
    </row>
    <row r="36" ht="39.95" customHeight="1" spans="1:6" x14ac:dyDescent="0.25">
      <c r="A36" s="60">
        <v>17</v>
      </c>
      <c r="B36" s="24">
        <f>'Sales Contract'!B36</f>
      </c>
      <c r="C36" s="26">
        <f>'Sales Contract'!C36</f>
      </c>
      <c r="D36" s="26">
        <f>'Sales Contract'!D36</f>
      </c>
      <c r="E36" s="26">
        <f>'Sales Contract'!E36</f>
      </c>
      <c r="F36" s="26">
        <f>'Sales Contract'!F36</f>
      </c>
    </row>
    <row r="37" ht="39.95" customHeight="1" spans="1:6" x14ac:dyDescent="0.25">
      <c r="A37" s="60">
        <v>18</v>
      </c>
      <c r="B37" s="24">
        <f>'Sales Contract'!B37</f>
      </c>
      <c r="C37" s="26">
        <f>'Sales Contract'!C37</f>
      </c>
      <c r="D37" s="26">
        <f>'Sales Contract'!D37</f>
      </c>
      <c r="E37" s="26">
        <f>'Sales Contract'!E37</f>
      </c>
      <c r="F37" s="26">
        <f>'Sales Contract'!F37</f>
      </c>
    </row>
    <row r="38" ht="39.95" customHeight="1" spans="1:6" x14ac:dyDescent="0.25">
      <c r="A38" s="60">
        <v>19</v>
      </c>
      <c r="B38" s="24">
        <f>'Sales Contract'!B38</f>
      </c>
      <c r="C38" s="26">
        <f>'Sales Contract'!C38</f>
      </c>
      <c r="D38" s="26">
        <f>'Sales Contract'!D38</f>
      </c>
      <c r="E38" s="26">
        <f>'Sales Contract'!E38</f>
      </c>
      <c r="F38" s="26">
        <f>'Sales Contract'!F38</f>
      </c>
    </row>
    <row r="39" ht="39.95" customHeight="1" spans="1:6" x14ac:dyDescent="0.25">
      <c r="A39" s="60">
        <v>20</v>
      </c>
      <c r="B39" s="24">
        <f>'Sales Contract'!B39</f>
      </c>
      <c r="C39" s="26">
        <f>'Sales Contract'!C39</f>
      </c>
      <c r="D39" s="26">
        <f>'Sales Contract'!D39</f>
      </c>
      <c r="E39" s="26">
        <f>'Sales Contract'!E39</f>
      </c>
      <c r="F39" s="26">
        <f>'Sales Contract'!F39</f>
      </c>
    </row>
    <row r="40" ht="39.95" customHeight="1" spans="1:6" x14ac:dyDescent="0.25">
      <c r="A40" s="60">
        <v>21</v>
      </c>
      <c r="B40" s="24">
        <f>'Sales Contract'!B40</f>
      </c>
      <c r="C40" s="26">
        <f>'Sales Contract'!C40</f>
      </c>
      <c r="D40" s="26">
        <f>'Sales Contract'!D40</f>
      </c>
      <c r="E40" s="26">
        <f>'Sales Contract'!E40</f>
      </c>
      <c r="F40" s="26">
        <f>'Sales Contract'!F40</f>
      </c>
    </row>
    <row r="41" ht="39.95" customHeight="1" spans="1:6" x14ac:dyDescent="0.25">
      <c r="A41" s="60">
        <v>22</v>
      </c>
      <c r="B41" s="24">
        <f>'Sales Contract'!B41</f>
      </c>
      <c r="C41" s="26">
        <f>'Sales Contract'!C41</f>
      </c>
      <c r="D41" s="26">
        <f>'Sales Contract'!D41</f>
      </c>
      <c r="E41" s="26">
        <f>'Sales Contract'!E41</f>
      </c>
      <c r="F41" s="26">
        <f>'Sales Contract'!F41</f>
      </c>
    </row>
    <row r="42" ht="39.95" customHeight="1" spans="1:6" x14ac:dyDescent="0.25">
      <c r="A42" s="60">
        <v>23</v>
      </c>
      <c r="B42" s="24">
        <f>'Sales Contract'!B42</f>
      </c>
      <c r="C42" s="26">
        <f>'Sales Contract'!C42</f>
      </c>
      <c r="D42" s="26">
        <f>'Sales Contract'!D42</f>
      </c>
      <c r="E42" s="26">
        <f>'Sales Contract'!E42</f>
      </c>
      <c r="F42" s="26">
        <f>'Sales Contract'!F42</f>
      </c>
    </row>
    <row r="43" ht="39.95" customHeight="1" spans="1:6" x14ac:dyDescent="0.25">
      <c r="A43" s="60">
        <v>24</v>
      </c>
      <c r="B43" s="24">
        <f>'Sales Contract'!B43</f>
      </c>
      <c r="C43" s="26">
        <f>'Sales Contract'!C43</f>
      </c>
      <c r="D43" s="26">
        <f>'Sales Contract'!D43</f>
      </c>
      <c r="E43" s="26">
        <f>'Sales Contract'!E43</f>
      </c>
      <c r="F43" s="26">
        <f>'Sales Contract'!F43</f>
      </c>
    </row>
    <row r="44" ht="39.95" customHeight="1" spans="1:6" x14ac:dyDescent="0.25">
      <c r="A44" s="60">
        <v>25</v>
      </c>
      <c r="B44" s="24">
        <f>'Sales Contract'!B44</f>
      </c>
      <c r="C44" s="26">
        <f>'Sales Contract'!C44</f>
      </c>
      <c r="D44" s="26">
        <f>'Sales Contract'!D44</f>
      </c>
      <c r="E44" s="26">
        <f>'Sales Contract'!E44</f>
      </c>
      <c r="F44" s="26">
        <f>'Sales Contract'!F44</f>
      </c>
    </row>
    <row r="45" ht="39.95" customHeight="1" spans="1:6" x14ac:dyDescent="0.25">
      <c r="A45" s="60">
        <v>26</v>
      </c>
      <c r="B45" s="24">
        <f>'Sales Contract'!B45</f>
      </c>
      <c r="C45" s="26">
        <f>'Sales Contract'!C45</f>
      </c>
      <c r="D45" s="26">
        <f>'Sales Contract'!D45</f>
      </c>
      <c r="E45" s="26">
        <f>'Sales Contract'!E45</f>
      </c>
      <c r="F45" s="26">
        <f>'Sales Contract'!F45</f>
      </c>
    </row>
    <row r="46" ht="39.95" customHeight="1" hidden="1" spans="1:6" x14ac:dyDescent="0.25">
      <c r="A46" s="60">
        <v>27</v>
      </c>
      <c r="B46" s="24">
        <f>'Sales Contract'!B46</f>
      </c>
      <c r="C46" s="26">
        <f>'Sales Contract'!C46</f>
      </c>
      <c r="D46" s="26">
        <f>'Sales Contract'!D46</f>
      </c>
      <c r="E46" s="26">
        <f>'Sales Contract'!E46</f>
      </c>
      <c r="F46" s="26">
        <f>'Sales Contract'!F46</f>
      </c>
    </row>
    <row r="47" ht="39.95" customHeight="1" spans="1:6" x14ac:dyDescent="0.25">
      <c r="A47" s="60">
        <v>28</v>
      </c>
      <c r="B47" s="24">
        <f>'Sales Contract'!B47</f>
      </c>
      <c r="C47" s="26">
        <f>'Sales Contract'!C47</f>
      </c>
      <c r="D47" s="26">
        <f>'Sales Contract'!D47</f>
      </c>
      <c r="E47" s="26">
        <f>'Sales Contract'!E47</f>
      </c>
      <c r="F47" s="26">
        <f>'Sales Contract'!F47</f>
      </c>
    </row>
    <row r="48" ht="39.95" customHeight="1" hidden="1" spans="1:6" x14ac:dyDescent="0.25">
      <c r="A48" s="60">
        <v>29</v>
      </c>
      <c r="B48" s="24">
        <f>'Sales Contract'!B48</f>
      </c>
      <c r="C48" s="26">
        <f>'Sales Contract'!C48</f>
      </c>
      <c r="D48" s="26">
        <f>'Sales Contract'!D48</f>
      </c>
      <c r="E48" s="26">
        <f>'Sales Contract'!E48</f>
      </c>
      <c r="F48" s="26">
        <f>'Sales Contract'!F48</f>
      </c>
    </row>
    <row r="49" ht="39.95" customHeight="1" spans="1:6" x14ac:dyDescent="0.25">
      <c r="A49" s="60">
        <v>30</v>
      </c>
      <c r="B49" s="24">
        <f>'Sales Contract'!B49</f>
      </c>
      <c r="C49" s="26">
        <f>'Sales Contract'!C49</f>
      </c>
      <c r="D49" s="26">
        <f>'Sales Contract'!D49</f>
      </c>
      <c r="E49" s="26">
        <f>'Sales Contract'!E49</f>
      </c>
      <c r="F49" s="26">
        <f>'Sales Contract'!F49</f>
      </c>
    </row>
    <row r="50" ht="39.95" customHeight="1" spans="1:6" x14ac:dyDescent="0.25">
      <c r="A50" s="60">
        <v>31</v>
      </c>
      <c r="B50" s="24">
        <f>'Sales Contract'!B50</f>
      </c>
      <c r="C50" s="26">
        <f>'Sales Contract'!C50</f>
      </c>
      <c r="D50" s="26">
        <f>'Sales Contract'!D50</f>
      </c>
      <c r="E50" s="26">
        <f>'Sales Contract'!E50</f>
      </c>
      <c r="F50" s="26">
        <f>'Sales Contract'!F50</f>
      </c>
    </row>
    <row r="51" ht="39.95" customHeight="1" spans="1:6" x14ac:dyDescent="0.25">
      <c r="A51" s="60">
        <v>32</v>
      </c>
      <c r="B51" s="24">
        <f>'Sales Contract'!B51</f>
      </c>
      <c r="C51" s="26">
        <f>'Sales Contract'!C51</f>
      </c>
      <c r="D51" s="26">
        <f>'Sales Contract'!D51</f>
      </c>
      <c r="E51" s="26">
        <f>'Sales Contract'!E51</f>
      </c>
      <c r="F51" s="26">
        <f>'Sales Contract'!F51</f>
      </c>
    </row>
    <row r="52" ht="39.95" customHeight="1" spans="1:6" x14ac:dyDescent="0.25">
      <c r="A52" s="60">
        <v>33</v>
      </c>
      <c r="B52" s="24">
        <f>'Sales Contract'!B52</f>
      </c>
      <c r="C52" s="26">
        <f>'Sales Contract'!C52</f>
      </c>
      <c r="D52" s="26">
        <f>'Sales Contract'!D52</f>
      </c>
      <c r="E52" s="26">
        <f>'Sales Contract'!E52</f>
      </c>
      <c r="F52" s="26">
        <f>'Sales Contract'!F52</f>
      </c>
    </row>
    <row r="53" ht="39.95" customHeight="1" spans="1:6" x14ac:dyDescent="0.25">
      <c r="A53" s="60">
        <v>34</v>
      </c>
      <c r="B53" s="24">
        <f>'Sales Contract'!B53</f>
      </c>
      <c r="C53" s="26">
        <f>'Sales Contract'!C53</f>
      </c>
      <c r="D53" s="26">
        <f>'Sales Contract'!D53</f>
      </c>
      <c r="E53" s="26">
        <f>'Sales Contract'!E53</f>
      </c>
      <c r="F53" s="26">
        <f>'Sales Contract'!F53</f>
      </c>
    </row>
    <row r="54" ht="39.95" customHeight="1" spans="1:6" x14ac:dyDescent="0.25">
      <c r="A54" s="60">
        <v>35</v>
      </c>
      <c r="B54" s="24">
        <f>'Sales Contract'!B54</f>
      </c>
      <c r="C54" s="26">
        <f>'Sales Contract'!C54</f>
      </c>
      <c r="D54" s="26">
        <f>'Sales Contract'!D54</f>
      </c>
      <c r="E54" s="26">
        <f>'Sales Contract'!E54</f>
      </c>
      <c r="F54" s="26">
        <f>'Sales Contract'!F54</f>
      </c>
    </row>
    <row r="55" ht="39.95" customHeight="1" spans="1:6" x14ac:dyDescent="0.25">
      <c r="A55" s="60">
        <v>36</v>
      </c>
      <c r="B55" s="24">
        <f>'Sales Contract'!B55</f>
      </c>
      <c r="C55" s="26">
        <f>'Sales Contract'!C55</f>
      </c>
      <c r="D55" s="26">
        <f>'Sales Contract'!D55</f>
      </c>
      <c r="E55" s="26">
        <f>'Sales Contract'!E55</f>
      </c>
      <c r="F55" s="26">
        <f>'Sales Contract'!F55</f>
      </c>
    </row>
    <row r="56" ht="39.95" customHeight="1" spans="1:6" x14ac:dyDescent="0.25">
      <c r="A56" s="60">
        <v>37</v>
      </c>
      <c r="B56" s="24">
        <f>'Sales Contract'!B56</f>
      </c>
      <c r="C56" s="26">
        <f>'Sales Contract'!C56</f>
      </c>
      <c r="D56" s="26">
        <f>'Sales Contract'!D56</f>
      </c>
      <c r="E56" s="26">
        <f>'Sales Contract'!E56</f>
      </c>
      <c r="F56" s="26">
        <f>'Sales Contract'!F56</f>
      </c>
    </row>
    <row r="57" ht="39.95" customHeight="1" spans="1:6" x14ac:dyDescent="0.25">
      <c r="A57" s="60">
        <v>38</v>
      </c>
      <c r="B57" s="24">
        <f>'Sales Contract'!B57</f>
      </c>
      <c r="C57" s="26">
        <f>'Sales Contract'!C57</f>
      </c>
      <c r="D57" s="26">
        <f>'Sales Contract'!D57</f>
      </c>
      <c r="E57" s="26">
        <f>'Sales Contract'!E57</f>
      </c>
      <c r="F57" s="26">
        <f>'Sales Contract'!F57</f>
      </c>
    </row>
    <row r="58" ht="39.95" customHeight="1" spans="1:6" x14ac:dyDescent="0.25">
      <c r="A58" s="60">
        <v>39</v>
      </c>
      <c r="B58" s="24">
        <f>'Sales Contract'!B58</f>
      </c>
      <c r="C58" s="26">
        <f>'Sales Contract'!C58</f>
      </c>
      <c r="D58" s="26">
        <f>'Sales Contract'!D58</f>
      </c>
      <c r="E58" s="26">
        <f>'Sales Contract'!E58</f>
      </c>
      <c r="F58" s="26">
        <f>'Sales Contract'!F58</f>
      </c>
    </row>
    <row r="59" ht="39.95" customHeight="1" spans="1:6" x14ac:dyDescent="0.25">
      <c r="A59" s="60">
        <v>40</v>
      </c>
      <c r="B59" s="24">
        <f>'Sales Contract'!B59</f>
      </c>
      <c r="C59" s="26">
        <f>'Sales Contract'!C59</f>
      </c>
      <c r="D59" s="26">
        <f>'Sales Contract'!D59</f>
      </c>
      <c r="E59" s="26">
        <f>'Sales Contract'!E59</f>
      </c>
      <c r="F59" s="26">
        <f>'Sales Contract'!F59</f>
      </c>
    </row>
    <row r="60" ht="39.95" customHeight="1" spans="1:6" x14ac:dyDescent="0.25">
      <c r="A60" s="60">
        <v>41</v>
      </c>
      <c r="B60" s="24">
        <f>'Sales Contract'!B60</f>
      </c>
      <c r="C60" s="26">
        <f>'Sales Contract'!C60</f>
      </c>
      <c r="D60" s="26">
        <f>'Sales Contract'!D60</f>
      </c>
      <c r="E60" s="26">
        <f>'Sales Contract'!E60</f>
      </c>
      <c r="F60" s="26">
        <f>'Sales Contract'!F60</f>
      </c>
    </row>
    <row r="61" ht="39.95" customHeight="1" spans="1:6" x14ac:dyDescent="0.25">
      <c r="A61" s="60">
        <v>42</v>
      </c>
      <c r="B61" s="24">
        <f>'Sales Contract'!B61</f>
      </c>
      <c r="C61" s="26">
        <f>'Sales Contract'!C61</f>
      </c>
      <c r="D61" s="26">
        <f>'Sales Contract'!D61</f>
      </c>
      <c r="E61" s="26">
        <f>'Sales Contract'!E61</f>
      </c>
      <c r="F61" s="26">
        <f>'Sales Contract'!F61</f>
      </c>
    </row>
    <row r="62" ht="39.95" customHeight="1" spans="1:6" x14ac:dyDescent="0.25">
      <c r="A62" s="60">
        <v>43</v>
      </c>
      <c r="B62" s="24">
        <f>'Sales Contract'!B62</f>
      </c>
      <c r="C62" s="26">
        <f>'Sales Contract'!C62</f>
      </c>
      <c r="D62" s="26">
        <f>'Sales Contract'!D62</f>
      </c>
      <c r="E62" s="26">
        <f>'Sales Contract'!E62</f>
      </c>
      <c r="F62" s="26">
        <f>'Sales Contract'!F62</f>
      </c>
    </row>
    <row r="63" ht="39.95" customHeight="1" spans="1:6" x14ac:dyDescent="0.25">
      <c r="A63" s="60">
        <v>44</v>
      </c>
      <c r="B63" s="24">
        <f>'Sales Contract'!B63</f>
      </c>
      <c r="C63" s="26">
        <f>'Sales Contract'!C63</f>
      </c>
      <c r="D63" s="26">
        <f>'Sales Contract'!D63</f>
      </c>
      <c r="E63" s="26">
        <f>'Sales Contract'!E63</f>
      </c>
      <c r="F63" s="26">
        <f>'Sales Contract'!F63</f>
      </c>
    </row>
    <row r="64" ht="39.95" customHeight="1" spans="1:6" x14ac:dyDescent="0.25">
      <c r="A64" s="60">
        <v>45</v>
      </c>
      <c r="B64" s="24">
        <f>'Sales Contract'!B64</f>
      </c>
      <c r="C64" s="26">
        <f>'Sales Contract'!C64</f>
      </c>
      <c r="D64" s="26">
        <f>'Sales Contract'!D64</f>
      </c>
      <c r="E64" s="26">
        <f>'Sales Contract'!E64</f>
      </c>
      <c r="F64" s="26">
        <f>'Sales Contract'!F64</f>
      </c>
    </row>
    <row r="65" ht="39.95" customHeight="1" spans="1:6" x14ac:dyDescent="0.25">
      <c r="A65" s="60">
        <v>46</v>
      </c>
      <c r="B65" s="24">
        <f>'Sales Contract'!B65</f>
      </c>
      <c r="C65" s="26">
        <f>'Sales Contract'!C65</f>
      </c>
      <c r="D65" s="26">
        <f>'Sales Contract'!D65</f>
      </c>
      <c r="E65" s="26">
        <f>'Sales Contract'!E65</f>
      </c>
      <c r="F65" s="26">
        <f>'Sales Contract'!F65</f>
      </c>
    </row>
    <row r="66" ht="39.95" customHeight="1" spans="1:6" x14ac:dyDescent="0.25">
      <c r="A66" s="60">
        <v>47</v>
      </c>
      <c r="B66" s="24">
        <f>'Sales Contract'!B66</f>
      </c>
      <c r="C66" s="26">
        <f>'Sales Contract'!C66</f>
      </c>
      <c r="D66" s="26">
        <f>'Sales Contract'!D66</f>
      </c>
      <c r="E66" s="26">
        <f>'Sales Contract'!E66</f>
      </c>
      <c r="F66" s="26">
        <f>'Sales Contract'!F66</f>
      </c>
    </row>
    <row r="67" ht="39.95" customHeight="1" spans="1:6" x14ac:dyDescent="0.25">
      <c r="A67" s="60">
        <v>48</v>
      </c>
      <c r="B67" s="24">
        <f>'Sales Contract'!B67</f>
      </c>
      <c r="C67" s="26">
        <f>'Sales Contract'!C67</f>
      </c>
      <c r="D67" s="26">
        <f>'Sales Contract'!D67</f>
      </c>
      <c r="E67" s="26">
        <f>'Sales Contract'!E67</f>
      </c>
      <c r="F67" s="26">
        <f>'Sales Contract'!F67</f>
      </c>
    </row>
    <row r="68" ht="39.95" customHeight="1" spans="1:6" x14ac:dyDescent="0.25">
      <c r="A68" s="60">
        <v>49</v>
      </c>
      <c r="B68" s="24">
        <f>'Sales Contract'!B68</f>
      </c>
      <c r="C68" s="26">
        <f>'Sales Contract'!C68</f>
      </c>
      <c r="D68" s="26">
        <f>'Sales Contract'!D68</f>
      </c>
      <c r="E68" s="26">
        <f>'Sales Contract'!E68</f>
      </c>
      <c r="F68" s="26">
        <f>'Sales Contract'!F68</f>
      </c>
    </row>
    <row r="69" ht="39.95" customHeight="1" spans="1:6" x14ac:dyDescent="0.25">
      <c r="A69" s="60">
        <v>50</v>
      </c>
      <c r="B69" s="24">
        <f>'Sales Contract'!B69</f>
      </c>
      <c r="C69" s="26">
        <f>'Sales Contract'!C69</f>
      </c>
      <c r="D69" s="26">
        <f>'Sales Contract'!D69</f>
      </c>
      <c r="E69" s="26">
        <f>'Sales Contract'!E69</f>
      </c>
      <c r="F69" s="26">
        <f>'Sales Contract'!F69</f>
      </c>
    </row>
    <row r="70" ht="39.95" customHeight="1" spans="1:6" x14ac:dyDescent="0.25">
      <c r="A70" s="60">
        <v>51</v>
      </c>
      <c r="B70" s="24">
        <f>'Sales Contract'!B70</f>
      </c>
      <c r="C70" s="26">
        <f>'Sales Contract'!C70</f>
      </c>
      <c r="D70" s="26">
        <f>'Sales Contract'!D70</f>
      </c>
      <c r="E70" s="26">
        <f>'Sales Contract'!E70</f>
      </c>
      <c r="F70" s="26">
        <f>'Sales Contract'!F70</f>
      </c>
    </row>
    <row r="71" ht="39.95" customHeight="1" spans="1:6" x14ac:dyDescent="0.25">
      <c r="A71" s="60">
        <v>52</v>
      </c>
      <c r="B71" s="24">
        <f>'Sales Contract'!B71</f>
      </c>
      <c r="C71" s="26">
        <f>'Sales Contract'!C71</f>
      </c>
      <c r="D71" s="26">
        <f>'Sales Contract'!D71</f>
      </c>
      <c r="E71" s="26">
        <f>'Sales Contract'!E71</f>
      </c>
      <c r="F71" s="26">
        <f>'Sales Contract'!F71</f>
      </c>
    </row>
    <row r="72" ht="39.95" customHeight="1" spans="1:6" x14ac:dyDescent="0.25">
      <c r="A72" s="60">
        <v>53</v>
      </c>
      <c r="B72" s="24">
        <f>'Sales Contract'!B72</f>
      </c>
      <c r="C72" s="26">
        <f>'Sales Contract'!C72</f>
      </c>
      <c r="D72" s="26">
        <f>'Sales Contract'!D72</f>
      </c>
      <c r="E72" s="26">
        <f>'Sales Contract'!E72</f>
      </c>
      <c r="F72" s="26">
        <f>'Sales Contract'!F72</f>
      </c>
    </row>
    <row r="73" ht="39.95" customHeight="1" spans="1:6" x14ac:dyDescent="0.25">
      <c r="A73" s="60">
        <v>54</v>
      </c>
      <c r="B73" s="24">
        <f>'Sales Contract'!B73</f>
      </c>
      <c r="C73" s="26">
        <f>'Sales Contract'!C73</f>
      </c>
      <c r="D73" s="26">
        <f>'Sales Contract'!D73</f>
      </c>
      <c r="E73" s="26">
        <f>'Sales Contract'!E73</f>
      </c>
      <c r="F73" s="26">
        <f>'Sales Contract'!F73</f>
      </c>
    </row>
    <row r="74" ht="39.95" customHeight="1" spans="1:6" x14ac:dyDescent="0.25">
      <c r="A74" s="60">
        <v>55</v>
      </c>
      <c r="B74" s="24">
        <f>'Sales Contract'!B74</f>
      </c>
      <c r="C74" s="26">
        <f>'Sales Contract'!C74</f>
      </c>
      <c r="D74" s="26">
        <f>'Sales Contract'!D74</f>
      </c>
      <c r="E74" s="26">
        <f>'Sales Contract'!E74</f>
      </c>
      <c r="F74" s="26">
        <f>'Sales Contract'!F74</f>
      </c>
    </row>
    <row r="75" ht="39.95" customHeight="1" spans="1:6" x14ac:dyDescent="0.25">
      <c r="A75" s="60">
        <v>56</v>
      </c>
      <c r="B75" s="24">
        <f>'Sales Contract'!B75</f>
      </c>
      <c r="C75" s="26">
        <f>'Sales Contract'!C75</f>
      </c>
      <c r="D75" s="26">
        <f>'Sales Contract'!D75</f>
      </c>
      <c r="E75" s="26">
        <f>'Sales Contract'!E75</f>
      </c>
      <c r="F75" s="26">
        <f>'Sales Contract'!F75</f>
      </c>
    </row>
    <row r="76" ht="39.95" customHeight="1" spans="1:6" x14ac:dyDescent="0.25">
      <c r="A76" s="60">
        <v>57</v>
      </c>
      <c r="B76" s="24">
        <f>'Sales Contract'!B76</f>
      </c>
      <c r="C76" s="26">
        <f>'Sales Contract'!C76</f>
      </c>
      <c r="D76" s="26">
        <f>'Sales Contract'!D76</f>
      </c>
      <c r="E76" s="26">
        <f>'Sales Contract'!E76</f>
      </c>
      <c r="F76" s="26">
        <f>'Sales Contract'!F76</f>
      </c>
    </row>
    <row r="77" ht="39.95" customHeight="1" spans="1:6" x14ac:dyDescent="0.25">
      <c r="A77" s="60">
        <v>58</v>
      </c>
      <c r="B77" s="24">
        <f>'Sales Contract'!B77</f>
      </c>
      <c r="C77" s="26">
        <f>'Sales Contract'!C77</f>
      </c>
      <c r="D77" s="26">
        <f>'Sales Contract'!D77</f>
      </c>
      <c r="E77" s="26">
        <f>'Sales Contract'!E77</f>
      </c>
      <c r="F77" s="26">
        <f>'Sales Contract'!F77</f>
      </c>
    </row>
    <row r="78" ht="39.95" customHeight="1" spans="1:6" x14ac:dyDescent="0.25">
      <c r="A78" s="60">
        <v>59</v>
      </c>
      <c r="B78" s="24">
        <f>'Sales Contract'!B78</f>
      </c>
      <c r="C78" s="26">
        <f>'Sales Contract'!C78</f>
      </c>
      <c r="D78" s="26">
        <f>'Sales Contract'!D78</f>
      </c>
      <c r="E78" s="26">
        <f>'Sales Contract'!E78</f>
      </c>
      <c r="F78" s="26">
        <f>'Sales Contract'!F78</f>
      </c>
    </row>
    <row r="79" ht="39.95" customHeight="1" spans="1:6" x14ac:dyDescent="0.25">
      <c r="A79" s="60">
        <v>60</v>
      </c>
      <c r="B79" s="24">
        <f>'Sales Contract'!B79</f>
      </c>
      <c r="C79" s="26">
        <f>'Sales Contract'!C79</f>
      </c>
      <c r="D79" s="26">
        <f>'Sales Contract'!D79</f>
      </c>
      <c r="E79" s="26">
        <f>'Sales Contract'!E79</f>
      </c>
      <c r="F79" s="26">
        <f>'Sales Contract'!F79</f>
      </c>
    </row>
    <row r="80" ht="39.95" customHeight="1" spans="1:6" x14ac:dyDescent="0.25">
      <c r="A80" s="59" t="s">
        <v>26</v>
      </c>
      <c r="B80" s="59"/>
      <c r="C80" s="59"/>
      <c r="D80" s="59"/>
      <c r="E80" s="59"/>
      <c r="F80" s="61">
        <f>SUM(F20:F79)</f>
      </c>
    </row>
    <row r="84" spans="1:6" x14ac:dyDescent="0.25">
      <c r="A84" s="62"/>
      <c r="B84" s="58"/>
      <c r="C84" s="58"/>
      <c r="D84" s="58"/>
      <c r="E84" s="58"/>
      <c r="F84" s="58"/>
    </row>
    <row r="85" spans="1:6" x14ac:dyDescent="0.25">
      <c r="A85" s="62"/>
      <c r="B85" s="58"/>
      <c r="C85" s="58"/>
      <c r="D85" s="58"/>
      <c r="E85" s="58"/>
      <c r="F85" s="58"/>
    </row>
    <row r="86" spans="1:6" x14ac:dyDescent="0.25">
      <c r="A86" s="62"/>
      <c r="B86" s="58"/>
      <c r="C86" s="58"/>
      <c r="D86" s="58"/>
      <c r="E86" s="58"/>
      <c r="F86" s="58"/>
    </row>
    <row r="87" spans="1:6" x14ac:dyDescent="0.25">
      <c r="A87" s="62"/>
      <c r="B87" s="58"/>
      <c r="C87" s="58"/>
      <c r="D87" s="58"/>
      <c r="E87" s="58"/>
      <c r="F87" s="58"/>
    </row>
    <row r="88" spans="1:6" x14ac:dyDescent="0.25">
      <c r="A88" s="62"/>
      <c r="B88" s="58"/>
      <c r="C88" s="58"/>
      <c r="D88" s="58"/>
      <c r="E88" s="58"/>
      <c r="F88" s="58"/>
    </row>
    <row r="89" spans="1:6" x14ac:dyDescent="0.25">
      <c r="A89" s="62" t="s">
        <v>50</v>
      </c>
      <c r="B89" s="62"/>
      <c r="C89" s="62"/>
      <c r="D89" s="62"/>
      <c r="E89" s="62"/>
      <c r="F89" s="62"/>
    </row>
    <row r="90" ht="17" customHeight="1" spans="1:6" x14ac:dyDescent="0.25">
      <c r="A90" s="63"/>
      <c r="B90" s="64"/>
      <c r="C90" s="65" t="s">
        <v>51</v>
      </c>
      <c r="D90" s="64"/>
      <c r="E90" s="64"/>
      <c r="F90" s="64"/>
    </row>
    <row r="91" ht="14" customHeight="1" spans="1:6" x14ac:dyDescent="0.25">
      <c r="A91" s="63" t="s">
        <v>65</v>
      </c>
      <c r="B91" s="63"/>
      <c r="C91" s="63"/>
      <c r="D91" s="63"/>
      <c r="E91" s="63"/>
      <c r="F91" s="63"/>
    </row>
    <row r="92" spans="1:6" x14ac:dyDescent="0.25">
      <c r="A92" s="66" t="s">
        <v>53</v>
      </c>
      <c r="B92" s="67"/>
      <c r="C92" s="66"/>
      <c r="D92" s="67"/>
      <c r="E92" s="67"/>
      <c r="F92" s="68"/>
    </row>
    <row r="93" spans="1:6" x14ac:dyDescent="0.25">
      <c r="A93" s="14"/>
      <c r="B93" s="14"/>
      <c r="C93" s="14"/>
      <c r="D93" s="14"/>
      <c r="E93" s="14"/>
      <c r="F93" s="47"/>
    </row>
  </sheetData>
  <mergeCells count="6">
    <mergeCell ref="A1:D1"/>
    <mergeCell ref="A4:C4"/>
    <mergeCell ref="A9:F9"/>
    <mergeCell ref="A80:E80"/>
    <mergeCell ref="A89:F89"/>
    <mergeCell ref="A91:F91"/>
  </mergeCells>
  <hyperlinks>
    <hyperlink ref="A7" r:id="rId1"/>
  </hyperlinks>
  <printOptions horizontalCentered="1"/>
  <pageMargins left="0.751388888888889" right="0.751388888888889" top="1" bottom="1" header="0.5" footer="0.5"/>
  <pageSetup paperSize="9" orientation="portrait" horizontalDpi="600" verticalDpi="4294967295" scale="65" fitToWidth="1" fitToHeight="0" firstPageNumber="1" useFirstPageNumber="1" copies="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2"/>
  <sheetViews>
    <sheetView workbookViewId="0" zoomScale="100" zoomScaleNormal="85" view="pageBreakPreview">
      <selection activeCell="F23" sqref="F23"/>
    </sheetView>
  </sheetViews>
  <sheetFormatPr defaultRowHeight="15.75" outlineLevelRow="0" outlineLevelCol="0" x14ac:dyDescent="0" defaultColWidth="11" customHeight="1"/>
  <cols>
    <col min="1" max="1" width="13.4095238095238" style="1" customWidth="1"/>
    <col min="2" max="2" width="43.7619047619048" style="1" customWidth="1"/>
    <col min="3" max="6" width="20.2285714285714" style="1" customWidth="1"/>
    <col min="7" max="7" width="15.1428571428571" style="1" customWidth="1"/>
    <col min="8" max="8" width="14.7142857142857" style="1" customWidth="1"/>
    <col min="9" max="9" width="18.5714285714286" style="1" customWidth="1"/>
    <col min="10" max="10" width="11" style="1" customWidth="1"/>
    <col min="11" max="11" width="15.8571428571429" style="1" customWidth="1"/>
    <col min="12" max="13" width="18.8571428571429" style="1" customWidth="1"/>
    <col min="14" max="14" width="19.5714285714286" style="2" customWidth="1"/>
    <col min="15" max="16384" width="11" style="2" customWidth="1"/>
  </cols>
  <sheetData>
    <row r="1" ht="67" customHeight="1" spans="1:6" x14ac:dyDescent="0.25">
      <c r="A1" s="3" t="s">
        <v>0</v>
      </c>
      <c r="B1" s="3"/>
      <c r="C1" s="3"/>
      <c r="D1" s="3"/>
      <c r="E1" s="3"/>
      <c r="F1" s="3"/>
    </row>
    <row r="2" ht="20.1" customHeight="1" spans="6:6" x14ac:dyDescent="0.25">
      <c r="F2" s="4"/>
    </row>
    <row r="3" ht="34" customHeight="1" spans="4:6" x14ac:dyDescent="0.25">
      <c r="D3" s="5" t="s">
        <v>1</v>
      </c>
      <c r="E3" s="6"/>
      <c r="F3" s="6"/>
    </row>
    <row r="4" ht="30" customHeight="1" spans="4:6" x14ac:dyDescent="0.25">
      <c r="D4" s="5" t="s">
        <v>2</v>
      </c>
      <c r="E4" s="7"/>
      <c r="F4" s="7"/>
    </row>
    <row r="5" ht="20.1" customHeight="1" spans="4:6" x14ac:dyDescent="0.25">
      <c r="D5" s="8"/>
      <c r="E5" s="7"/>
      <c r="F5" s="7"/>
    </row>
    <row r="6" ht="20.1" customHeight="1" x14ac:dyDescent="0.25"/>
    <row r="7" ht="31.5" customHeight="1" spans="1:2" x14ac:dyDescent="0.25">
      <c r="A7" s="9" t="s">
        <v>3</v>
      </c>
      <c r="B7" s="10" t="s">
        <v>4</v>
      </c>
    </row>
    <row r="8" ht="31.5" customHeight="1" spans="1:6" x14ac:dyDescent="0.25">
      <c r="A8" s="9" t="s">
        <v>5</v>
      </c>
      <c r="B8" s="11" t="s">
        <v>6</v>
      </c>
      <c r="C8" s="11"/>
      <c r="D8" s="11"/>
      <c r="E8" s="11"/>
      <c r="F8" s="11"/>
    </row>
    <row r="9" ht="20.1" customHeight="1" spans="1:2" x14ac:dyDescent="0.25">
      <c r="A9" s="12"/>
      <c r="B9" s="1" t="s">
        <v>7</v>
      </c>
    </row>
    <row r="10" ht="20.1" customHeight="1" spans="1:1" x14ac:dyDescent="0.25">
      <c r="A10" s="12"/>
    </row>
    <row r="11" ht="34" customHeight="1" spans="1:2" x14ac:dyDescent="0.25">
      <c r="A11" s="13" t="s">
        <v>8</v>
      </c>
      <c r="B11" s="14"/>
    </row>
    <row r="12" ht="36" customHeight="1" spans="1:2" x14ac:dyDescent="0.25">
      <c r="A12" s="13" t="s">
        <v>5</v>
      </c>
      <c r="B12" s="14"/>
    </row>
    <row r="13" ht="20.1" customHeight="1" spans="1:2" x14ac:dyDescent="0.25">
      <c r="A13" s="12" t="s">
        <v>9</v>
      </c>
      <c r="B13" s="14"/>
    </row>
    <row r="14" ht="20.1" customHeight="1" spans="1:2" x14ac:dyDescent="0.25">
      <c r="A14" s="12" t="s">
        <v>10</v>
      </c>
      <c r="B14" s="14"/>
    </row>
    <row r="15" ht="20.1" customHeight="1" spans="2:2" x14ac:dyDescent="0.25">
      <c r="B15" s="1"/>
    </row>
    <row r="16" ht="17" customHeight="1" spans="1:1" x14ac:dyDescent="0.25">
      <c r="A16" s="1" t="s">
        <v>11</v>
      </c>
    </row>
    <row r="17" ht="22" customHeight="1" spans="1:6" x14ac:dyDescent="0.25">
      <c r="A17" s="15" t="s">
        <v>12</v>
      </c>
      <c r="B17" s="15"/>
      <c r="C17" s="15"/>
      <c r="D17" s="15"/>
      <c r="E17" s="15"/>
      <c r="F17" s="15"/>
    </row>
    <row r="18" ht="20.1" customHeight="1" spans="8:8" x14ac:dyDescent="0.25">
      <c r="H18" s="1"/>
    </row>
    <row r="19" ht="32" customHeight="1" spans="1:14" s="16" customFormat="1" x14ac:dyDescent="0.25">
      <c r="A19" s="17" t="s">
        <v>13</v>
      </c>
      <c r="B19" s="18" t="s">
        <v>14</v>
      </c>
      <c r="C19" s="18" t="s">
        <v>15</v>
      </c>
      <c r="D19" s="18" t="s">
        <v>16</v>
      </c>
      <c r="E19" s="18" t="s">
        <v>17</v>
      </c>
      <c r="F19" s="18" t="s">
        <v>18</v>
      </c>
      <c r="G19" s="19" t="s">
        <v>19</v>
      </c>
      <c r="H19" s="14" t="s">
        <v>20</v>
      </c>
      <c r="I19" s="19" t="s">
        <v>21</v>
      </c>
      <c r="J19" s="20" t="s">
        <v>22</v>
      </c>
      <c r="K19" s="21" t="s">
        <v>23</v>
      </c>
      <c r="L19" s="22" t="s">
        <v>24</v>
      </c>
      <c r="M19" s="22" t="s">
        <v>25</v>
      </c>
      <c r="N19" s="23"/>
    </row>
    <row r="20" ht="32" customHeight="1" spans="1:14" s="16" customFormat="1" x14ac:dyDescent="0.25">
      <c r="A20" s="24">
        <v>1</v>
      </c>
      <c r="B20" s="24"/>
      <c r="C20" s="25"/>
      <c r="D20" s="26"/>
      <c r="E20" s="27">
        <f>L20</f>
      </c>
      <c r="F20" s="27">
        <f>M20</f>
      </c>
      <c r="G20" s="28">
        <f>I20/C20</f>
      </c>
      <c r="H20" s="28"/>
      <c r="I20" s="28">
        <f>H20*$H$18</f>
      </c>
      <c r="J20" s="29"/>
      <c r="K20" s="29"/>
      <c r="L20" s="30">
        <f>ROUND(G20/J20*K20,2)</f>
      </c>
      <c r="M20" s="30">
        <f>L20*C20</f>
      </c>
      <c r="N20" s="23"/>
    </row>
    <row r="21" ht="32" customHeight="1" spans="1:14" s="16" customFormat="1" x14ac:dyDescent="0.25">
      <c r="A21" s="24">
        <v>2</v>
      </c>
      <c r="B21" s="24"/>
      <c r="C21" s="25"/>
      <c r="D21" s="26"/>
      <c r="E21" s="27">
        <f>L21</f>
      </c>
      <c r="F21" s="27">
        <f>M21</f>
      </c>
      <c r="G21" s="28">
        <f>I21/C21</f>
      </c>
      <c r="H21" s="28"/>
      <c r="I21" s="28">
        <f>H21*$H$18</f>
      </c>
      <c r="J21" s="29"/>
      <c r="K21" s="29"/>
      <c r="L21" s="30">
        <f>ROUND(G21/J21*K21,2)</f>
      </c>
      <c r="M21" s="30">
        <f>L21*C21</f>
      </c>
      <c r="N21" s="23"/>
    </row>
    <row r="22" ht="32" customHeight="1" spans="1:14" s="16" customFormat="1" x14ac:dyDescent="0.25">
      <c r="A22" s="24">
        <v>3</v>
      </c>
      <c r="B22" s="24"/>
      <c r="C22" s="25"/>
      <c r="D22" s="26"/>
      <c r="E22" s="27">
        <f>L22</f>
      </c>
      <c r="F22" s="27">
        <f>M22</f>
      </c>
      <c r="G22" s="28">
        <f>I22/C22</f>
      </c>
      <c r="H22" s="28"/>
      <c r="I22" s="28">
        <f>H22*$H$18</f>
      </c>
      <c r="J22" s="29"/>
      <c r="K22" s="29"/>
      <c r="L22" s="30">
        <f>ROUND(G22/J22*K22,2)</f>
      </c>
      <c r="M22" s="30">
        <f>L22*C22</f>
      </c>
      <c r="N22" s="23"/>
    </row>
    <row r="23" ht="32" customHeight="1" spans="1:14" s="16" customFormat="1" x14ac:dyDescent="0.25">
      <c r="A23" s="24">
        <v>4</v>
      </c>
      <c r="B23" s="24"/>
      <c r="C23" s="25"/>
      <c r="D23" s="26"/>
      <c r="E23" s="27">
        <f>L23</f>
      </c>
      <c r="F23" s="27">
        <f>M23</f>
      </c>
      <c r="G23" s="28">
        <f>I23/C23</f>
      </c>
      <c r="H23" s="28"/>
      <c r="I23" s="28">
        <f>H23*$H$18</f>
      </c>
      <c r="J23" s="29"/>
      <c r="K23" s="29"/>
      <c r="L23" s="30">
        <f>ROUND(G23/J23*K23,2)</f>
      </c>
      <c r="M23" s="30">
        <f>L23*C23</f>
      </c>
      <c r="N23" s="23"/>
    </row>
    <row r="24" ht="32" customHeight="1" spans="1:14" s="16" customFormat="1" x14ac:dyDescent="0.25">
      <c r="A24" s="24">
        <v>5</v>
      </c>
      <c r="B24" s="24"/>
      <c r="C24" s="25"/>
      <c r="D24" s="26"/>
      <c r="E24" s="27">
        <f>L24</f>
      </c>
      <c r="F24" s="27">
        <f>M24</f>
      </c>
      <c r="G24" s="28">
        <f>I24/C24</f>
      </c>
      <c r="H24" s="28"/>
      <c r="I24" s="28">
        <f>H24*$H$18</f>
      </c>
      <c r="J24" s="29"/>
      <c r="K24" s="29"/>
      <c r="L24" s="30">
        <f>ROUND(G24/J24*K24,2)</f>
      </c>
      <c r="M24" s="30">
        <f>L24*C24</f>
      </c>
      <c r="N24" s="23"/>
    </row>
    <row r="25" ht="32" customHeight="1" spans="1:14" s="16" customFormat="1" x14ac:dyDescent="0.25">
      <c r="A25" s="24">
        <v>6</v>
      </c>
      <c r="B25" s="24"/>
      <c r="C25" s="25"/>
      <c r="D25" s="26"/>
      <c r="E25" s="27">
        <f>L25</f>
      </c>
      <c r="F25" s="27">
        <f>M25</f>
      </c>
      <c r="G25" s="28">
        <f>I25/C25</f>
      </c>
      <c r="H25" s="28"/>
      <c r="I25" s="28">
        <f>H25*$H$18</f>
      </c>
      <c r="J25" s="29"/>
      <c r="K25" s="29"/>
      <c r="L25" s="30">
        <f>ROUND(G25/J25*K25,2)</f>
      </c>
      <c r="M25" s="30">
        <f>L25*C25</f>
      </c>
      <c r="N25" s="23"/>
    </row>
    <row r="26" ht="32" customHeight="1" spans="1:14" s="16" customFormat="1" x14ac:dyDescent="0.25">
      <c r="A26" s="24">
        <v>7</v>
      </c>
      <c r="B26" s="24"/>
      <c r="C26" s="25"/>
      <c r="D26" s="26"/>
      <c r="E26" s="27">
        <f>L26</f>
      </c>
      <c r="F26" s="27">
        <f>M26</f>
      </c>
      <c r="G26" s="28">
        <f>I26/C26</f>
      </c>
      <c r="H26" s="28"/>
      <c r="I26" s="28">
        <f>H26*$H$18</f>
      </c>
      <c r="J26" s="29"/>
      <c r="K26" s="29"/>
      <c r="L26" s="30">
        <f>ROUND(G26/J26*K26,2)</f>
      </c>
      <c r="M26" s="30">
        <f>L26*C26</f>
      </c>
      <c r="N26" s="23"/>
    </row>
    <row r="27" ht="32" customHeight="1" spans="1:14" s="16" customFormat="1" x14ac:dyDescent="0.25">
      <c r="A27" s="24">
        <v>8</v>
      </c>
      <c r="B27" s="24"/>
      <c r="C27" s="25"/>
      <c r="D27" s="26"/>
      <c r="E27" s="27">
        <f>L27</f>
      </c>
      <c r="F27" s="27">
        <f>M27</f>
      </c>
      <c r="G27" s="28">
        <f>I27/C27</f>
      </c>
      <c r="H27" s="28"/>
      <c r="I27" s="28">
        <f>H27*$H$18</f>
      </c>
      <c r="J27" s="29"/>
      <c r="K27" s="29"/>
      <c r="L27" s="30">
        <f>ROUND(G27/J27*K27,2)</f>
      </c>
      <c r="M27" s="30">
        <f>L27*C27</f>
      </c>
      <c r="N27" s="23"/>
    </row>
    <row r="28" ht="32" customHeight="1" spans="1:14" s="16" customFormat="1" x14ac:dyDescent="0.25">
      <c r="A28" s="24">
        <v>9</v>
      </c>
      <c r="B28" s="24"/>
      <c r="C28" s="25"/>
      <c r="D28" s="26"/>
      <c r="E28" s="27">
        <f>L28</f>
      </c>
      <c r="F28" s="27">
        <f>M28</f>
      </c>
      <c r="G28" s="28">
        <f>I28/C28</f>
      </c>
      <c r="H28" s="28"/>
      <c r="I28" s="28">
        <f>H28*$H$18</f>
      </c>
      <c r="J28" s="29"/>
      <c r="K28" s="29"/>
      <c r="L28" s="30">
        <f>ROUND(G28/J28*K28,2)</f>
      </c>
      <c r="M28" s="30">
        <f>L28*C28</f>
      </c>
      <c r="N28" s="23"/>
    </row>
    <row r="29" ht="32" customHeight="1" spans="1:14" s="16" customFormat="1" x14ac:dyDescent="0.25">
      <c r="A29" s="24">
        <v>10</v>
      </c>
      <c r="B29" s="24"/>
      <c r="C29" s="25"/>
      <c r="D29" s="26"/>
      <c r="E29" s="27">
        <f>L29</f>
      </c>
      <c r="F29" s="27">
        <f>M29</f>
      </c>
      <c r="G29" s="28">
        <f>I29/C29</f>
      </c>
      <c r="H29" s="28"/>
      <c r="I29" s="28">
        <f>H29*$H$18</f>
      </c>
      <c r="J29" s="29"/>
      <c r="K29" s="29"/>
      <c r="L29" s="30">
        <f>ROUND(G29/J29*K29,2)</f>
      </c>
      <c r="M29" s="30">
        <f>L29*C29</f>
      </c>
      <c r="N29" s="23"/>
    </row>
    <row r="30" ht="32" customHeight="1" hidden="1" spans="1:14" s="16" customFormat="1" x14ac:dyDescent="0.25">
      <c r="A30" s="24">
        <v>11</v>
      </c>
      <c r="B30" s="24"/>
      <c r="C30" s="25"/>
      <c r="D30" s="26"/>
      <c r="E30" s="27">
        <f>L30</f>
      </c>
      <c r="F30" s="27">
        <f>M30</f>
      </c>
      <c r="G30" s="28">
        <f>I30/C30</f>
      </c>
      <c r="H30" s="28"/>
      <c r="I30" s="28">
        <f>H30*$H$18</f>
      </c>
      <c r="J30" s="29"/>
      <c r="K30" s="29"/>
      <c r="L30" s="30">
        <f>ROUND(G30/J30*K30,2)</f>
      </c>
      <c r="M30" s="30">
        <f>L30*C30</f>
      </c>
      <c r="N30" s="23"/>
    </row>
    <row r="31" ht="32" customHeight="1" hidden="1" spans="1:14" s="16" customFormat="1" x14ac:dyDescent="0.25">
      <c r="A31" s="24">
        <v>12</v>
      </c>
      <c r="B31" s="24"/>
      <c r="C31" s="25"/>
      <c r="D31" s="26"/>
      <c r="E31" s="27">
        <f>L31</f>
      </c>
      <c r="F31" s="27">
        <f>M31</f>
      </c>
      <c r="G31" s="28">
        <f>I31/C31</f>
      </c>
      <c r="H31" s="28"/>
      <c r="I31" s="28">
        <f>H31*$H$18</f>
      </c>
      <c r="J31" s="29"/>
      <c r="K31" s="29"/>
      <c r="L31" s="30">
        <f>ROUND(G31/J31*K31,2)</f>
      </c>
      <c r="M31" s="30">
        <f>L31*C31</f>
      </c>
      <c r="N31" s="23"/>
    </row>
    <row r="32" ht="32" customHeight="1" hidden="1" spans="1:14" s="16" customFormat="1" x14ac:dyDescent="0.25">
      <c r="A32" s="24">
        <v>13</v>
      </c>
      <c r="B32" s="24"/>
      <c r="C32" s="25"/>
      <c r="D32" s="26"/>
      <c r="E32" s="27">
        <f>L32</f>
      </c>
      <c r="F32" s="27">
        <f>M32</f>
      </c>
      <c r="G32" s="28">
        <f>I32/C32</f>
      </c>
      <c r="H32" s="28"/>
      <c r="I32" s="28">
        <f>H32*$H$18</f>
      </c>
      <c r="J32" s="29"/>
      <c r="K32" s="29"/>
      <c r="L32" s="30">
        <f>ROUND(G32/J32*K32,2)</f>
      </c>
      <c r="M32" s="30">
        <f>L32*C32</f>
      </c>
      <c r="N32" s="23"/>
    </row>
    <row r="33" ht="32" customHeight="1" hidden="1" spans="1:14" s="16" customFormat="1" x14ac:dyDescent="0.25">
      <c r="A33" s="24">
        <v>14</v>
      </c>
      <c r="B33" s="24"/>
      <c r="C33" s="25"/>
      <c r="D33" s="26"/>
      <c r="E33" s="27">
        <f>L33</f>
      </c>
      <c r="F33" s="27">
        <f>M33</f>
      </c>
      <c r="G33" s="28">
        <f>I33/C33</f>
      </c>
      <c r="H33" s="28"/>
      <c r="I33" s="28">
        <f>H33*$H$18</f>
      </c>
      <c r="J33" s="29"/>
      <c r="K33" s="29"/>
      <c r="L33" s="30">
        <f>ROUND(G33/J33*K33,2)</f>
      </c>
      <c r="M33" s="30">
        <f>L33*C33</f>
      </c>
      <c r="N33" s="23"/>
    </row>
    <row r="34" ht="32" customHeight="1" hidden="1" spans="1:14" s="16" customFormat="1" x14ac:dyDescent="0.25">
      <c r="A34" s="24">
        <v>15</v>
      </c>
      <c r="B34" s="24"/>
      <c r="C34" s="25"/>
      <c r="D34" s="26"/>
      <c r="E34" s="27">
        <f>L34</f>
      </c>
      <c r="F34" s="27">
        <f>M34</f>
      </c>
      <c r="G34" s="28">
        <f>I34/C34</f>
      </c>
      <c r="H34" s="28"/>
      <c r="I34" s="28">
        <f>H34*$H$18</f>
      </c>
      <c r="J34" s="29"/>
      <c r="K34" s="29"/>
      <c r="L34" s="30">
        <f>ROUND(G34/J34*K34,2)</f>
      </c>
      <c r="M34" s="30">
        <f>L34*C34</f>
      </c>
      <c r="N34" s="23"/>
    </row>
    <row r="35" ht="32" customHeight="1" hidden="1" spans="1:14" s="16" customFormat="1" x14ac:dyDescent="0.25">
      <c r="A35" s="24">
        <v>16</v>
      </c>
      <c r="B35" s="24"/>
      <c r="C35" s="25"/>
      <c r="D35" s="26"/>
      <c r="E35" s="27">
        <f>L35</f>
      </c>
      <c r="F35" s="27">
        <f>M35</f>
      </c>
      <c r="G35" s="28">
        <f>I35/C35</f>
      </c>
      <c r="H35" s="28"/>
      <c r="I35" s="28">
        <f>H35*$H$18</f>
      </c>
      <c r="J35" s="29"/>
      <c r="K35" s="29"/>
      <c r="L35" s="30">
        <f>ROUND(G35/J35*K35,2)</f>
      </c>
      <c r="M35" s="30">
        <f>L35*C35</f>
      </c>
      <c r="N35" s="23"/>
    </row>
    <row r="36" ht="32" customHeight="1" spans="1:14" s="16" customFormat="1" x14ac:dyDescent="0.25">
      <c r="A36" s="24">
        <v>17</v>
      </c>
      <c r="B36" s="24"/>
      <c r="C36" s="25"/>
      <c r="D36" s="26"/>
      <c r="E36" s="27">
        <f>L36</f>
      </c>
      <c r="F36" s="27">
        <f>M36</f>
      </c>
      <c r="G36" s="28">
        <f>I36/C36</f>
      </c>
      <c r="H36" s="28"/>
      <c r="I36" s="28">
        <f>H36*$H$18</f>
      </c>
      <c r="J36" s="29"/>
      <c r="K36" s="29"/>
      <c r="L36" s="30">
        <f>ROUND(G36/J36*K36,2)</f>
      </c>
      <c r="M36" s="30">
        <f>L36*C36</f>
      </c>
      <c r="N36" s="23"/>
    </row>
    <row r="37" ht="32" customHeight="1" spans="1:14" s="16" customFormat="1" x14ac:dyDescent="0.25">
      <c r="A37" s="24">
        <v>18</v>
      </c>
      <c r="B37" s="24"/>
      <c r="C37" s="25"/>
      <c r="D37" s="26"/>
      <c r="E37" s="27">
        <f>L37</f>
      </c>
      <c r="F37" s="27">
        <f>M37</f>
      </c>
      <c r="G37" s="28">
        <f>I37/C37</f>
      </c>
      <c r="H37" s="28"/>
      <c r="I37" s="28">
        <f>H37*$H$18</f>
      </c>
      <c r="J37" s="29"/>
      <c r="K37" s="29"/>
      <c r="L37" s="30">
        <f>ROUND(G37/J37*K37,2)</f>
      </c>
      <c r="M37" s="30">
        <f>L37*C37</f>
      </c>
      <c r="N37" s="23"/>
    </row>
    <row r="38" ht="32" customHeight="1" spans="1:14" s="16" customFormat="1" x14ac:dyDescent="0.25">
      <c r="A38" s="24">
        <v>19</v>
      </c>
      <c r="B38" s="24"/>
      <c r="C38" s="25"/>
      <c r="D38" s="26"/>
      <c r="E38" s="27">
        <f>L38</f>
      </c>
      <c r="F38" s="27">
        <f>M38</f>
      </c>
      <c r="G38" s="28">
        <f>I38/C38</f>
      </c>
      <c r="H38" s="28"/>
      <c r="I38" s="28">
        <f>H38*$H$18</f>
      </c>
      <c r="J38" s="29"/>
      <c r="K38" s="29"/>
      <c r="L38" s="30">
        <f>ROUND(G38/J38*K38,2)</f>
      </c>
      <c r="M38" s="30">
        <f>L38*C38</f>
      </c>
      <c r="N38" s="23"/>
    </row>
    <row r="39" ht="32" customHeight="1" spans="1:14" s="16" customFormat="1" x14ac:dyDescent="0.25">
      <c r="A39" s="24">
        <v>20</v>
      </c>
      <c r="B39" s="24"/>
      <c r="C39" s="25"/>
      <c r="D39" s="26"/>
      <c r="E39" s="27">
        <f>L39</f>
      </c>
      <c r="F39" s="27">
        <f>M39</f>
      </c>
      <c r="G39" s="28">
        <f>I39/C39</f>
      </c>
      <c r="H39" s="28"/>
      <c r="I39" s="28">
        <f>H39*$H$18</f>
      </c>
      <c r="J39" s="29"/>
      <c r="K39" s="29"/>
      <c r="L39" s="30">
        <f>ROUND(G39/J39*K39,2)</f>
      </c>
      <c r="M39" s="30">
        <f>L39*C39</f>
      </c>
      <c r="N39" s="23"/>
    </row>
    <row r="40" ht="32" customHeight="1" spans="1:14" s="16" customFormat="1" x14ac:dyDescent="0.25">
      <c r="A40" s="24">
        <v>21</v>
      </c>
      <c r="B40" s="24"/>
      <c r="C40" s="25"/>
      <c r="D40" s="26"/>
      <c r="E40" s="27">
        <f>L40</f>
      </c>
      <c r="F40" s="27">
        <f>M40</f>
      </c>
      <c r="G40" s="28">
        <f>I40/C40</f>
      </c>
      <c r="H40" s="28"/>
      <c r="I40" s="28">
        <f>H40*$H$18</f>
      </c>
      <c r="J40" s="29"/>
      <c r="K40" s="29"/>
      <c r="L40" s="30">
        <f>ROUND(G40/J40*K40,2)</f>
      </c>
      <c r="M40" s="30">
        <f>L40*C40</f>
      </c>
      <c r="N40" s="23"/>
    </row>
    <row r="41" ht="32" customHeight="1" spans="1:14" s="16" customFormat="1" x14ac:dyDescent="0.25">
      <c r="A41" s="24">
        <v>22</v>
      </c>
      <c r="B41" s="24"/>
      <c r="C41" s="25"/>
      <c r="D41" s="26"/>
      <c r="E41" s="27">
        <f>L41</f>
      </c>
      <c r="F41" s="27">
        <f>M41</f>
      </c>
      <c r="G41" s="28">
        <f>I41/C41</f>
      </c>
      <c r="H41" s="28"/>
      <c r="I41" s="28">
        <f>H41*$H$18</f>
      </c>
      <c r="J41" s="29"/>
      <c r="K41" s="29"/>
      <c r="L41" s="30">
        <f>ROUND(G41/J41*K41,2)</f>
      </c>
      <c r="M41" s="30">
        <f>L41*C41</f>
      </c>
      <c r="N41" s="23"/>
    </row>
    <row r="42" ht="32" customHeight="1" spans="1:14" s="16" customFormat="1" x14ac:dyDescent="0.25">
      <c r="A42" s="24">
        <v>23</v>
      </c>
      <c r="B42" s="24"/>
      <c r="C42" s="25"/>
      <c r="D42" s="26"/>
      <c r="E42" s="27">
        <f>L42</f>
      </c>
      <c r="F42" s="27">
        <f>M42</f>
      </c>
      <c r="G42" s="28">
        <f>I42/C42</f>
      </c>
      <c r="H42" s="28"/>
      <c r="I42" s="28">
        <f>H42*$H$18</f>
      </c>
      <c r="J42" s="29"/>
      <c r="K42" s="29"/>
      <c r="L42" s="30">
        <f>ROUND(G42/J42*K42,2)</f>
      </c>
      <c r="M42" s="30">
        <f>L42*C42</f>
      </c>
      <c r="N42" s="23"/>
    </row>
    <row r="43" ht="32" customHeight="1" spans="1:14" s="16" customFormat="1" x14ac:dyDescent="0.25">
      <c r="A43" s="24">
        <v>24</v>
      </c>
      <c r="B43" s="24"/>
      <c r="C43" s="25"/>
      <c r="D43" s="26"/>
      <c r="E43" s="27">
        <f>L43</f>
      </c>
      <c r="F43" s="27">
        <f>M43</f>
      </c>
      <c r="G43" s="28">
        <f>I43/C43</f>
      </c>
      <c r="H43" s="28"/>
      <c r="I43" s="28">
        <f>H43*$H$18</f>
      </c>
      <c r="J43" s="29"/>
      <c r="K43" s="29"/>
      <c r="L43" s="30">
        <f>ROUND(G43/J43*K43,2)</f>
      </c>
      <c r="M43" s="30">
        <f>L43*C43</f>
      </c>
      <c r="N43" s="23"/>
    </row>
    <row r="44" ht="32" customHeight="1" spans="1:14" s="16" customFormat="1" x14ac:dyDescent="0.25">
      <c r="A44" s="24">
        <v>25</v>
      </c>
      <c r="B44" s="24"/>
      <c r="C44" s="25"/>
      <c r="D44" s="26"/>
      <c r="E44" s="27">
        <f>L44</f>
      </c>
      <c r="F44" s="27">
        <f>M44</f>
      </c>
      <c r="G44" s="28">
        <f>I44/C44</f>
      </c>
      <c r="H44" s="28"/>
      <c r="I44" s="28">
        <f>H44*$H$18</f>
      </c>
      <c r="J44" s="29"/>
      <c r="K44" s="29"/>
      <c r="L44" s="30">
        <f>ROUND(G44/J44*K44,2)</f>
      </c>
      <c r="M44" s="30">
        <f>L44*C44</f>
      </c>
      <c r="N44" s="23"/>
    </row>
    <row r="45" ht="32" customHeight="1" spans="1:14" s="16" customFormat="1" x14ac:dyDescent="0.25">
      <c r="A45" s="24">
        <v>26</v>
      </c>
      <c r="B45" s="24"/>
      <c r="C45" s="25"/>
      <c r="D45" s="26"/>
      <c r="E45" s="27">
        <f>L45</f>
      </c>
      <c r="F45" s="27">
        <f>M45</f>
      </c>
      <c r="G45" s="28">
        <f>I45/C45</f>
      </c>
      <c r="H45" s="28"/>
      <c r="I45" s="28">
        <f>H45*$H$18</f>
      </c>
      <c r="J45" s="29"/>
      <c r="K45" s="29"/>
      <c r="L45" s="30">
        <f>ROUND(G45/J45*K45,2)</f>
      </c>
      <c r="M45" s="30">
        <f>L45*C45</f>
      </c>
      <c r="N45" s="23"/>
    </row>
    <row r="46" ht="32" customHeight="1" spans="1:14" s="16" customFormat="1" x14ac:dyDescent="0.25">
      <c r="A46" s="24">
        <v>27</v>
      </c>
      <c r="B46" s="24"/>
      <c r="C46" s="25"/>
      <c r="D46" s="26"/>
      <c r="E46" s="27">
        <f>L46</f>
      </c>
      <c r="F46" s="27">
        <f>M46</f>
      </c>
      <c r="G46" s="28">
        <f>I46/C46</f>
      </c>
      <c r="H46" s="28"/>
      <c r="I46" s="28">
        <f>H46*$H$18</f>
      </c>
      <c r="J46" s="29"/>
      <c r="K46" s="29"/>
      <c r="L46" s="30">
        <f>ROUND(G46/J46*K46,2)</f>
      </c>
      <c r="M46" s="30">
        <f>L46*C46</f>
      </c>
      <c r="N46" s="23"/>
    </row>
    <row r="47" ht="32" customHeight="1" spans="1:14" s="16" customFormat="1" x14ac:dyDescent="0.25">
      <c r="A47" s="24">
        <v>28</v>
      </c>
      <c r="B47" s="24"/>
      <c r="C47" s="25"/>
      <c r="D47" s="26"/>
      <c r="E47" s="27">
        <f>L47</f>
      </c>
      <c r="F47" s="27">
        <f>M47</f>
      </c>
      <c r="G47" s="28">
        <f>I47/C47</f>
      </c>
      <c r="H47" s="28"/>
      <c r="I47" s="28">
        <f>H47*$H$18</f>
      </c>
      <c r="J47" s="29"/>
      <c r="K47" s="29"/>
      <c r="L47" s="30">
        <f>ROUND(G47/J47*K47,2)</f>
      </c>
      <c r="M47" s="30">
        <f>L47*C47</f>
      </c>
      <c r="N47" s="23"/>
    </row>
    <row r="48" ht="32" customHeight="1" spans="1:14" s="16" customFormat="1" x14ac:dyDescent="0.25">
      <c r="A48" s="24">
        <v>29</v>
      </c>
      <c r="B48" s="24"/>
      <c r="C48" s="25"/>
      <c r="D48" s="26"/>
      <c r="E48" s="27">
        <f>L48</f>
      </c>
      <c r="F48" s="27">
        <f>M48</f>
      </c>
      <c r="G48" s="28">
        <f>I48/C48</f>
      </c>
      <c r="H48" s="28"/>
      <c r="I48" s="28">
        <f>H48*$H$18</f>
      </c>
      <c r="J48" s="29"/>
      <c r="K48" s="29"/>
      <c r="L48" s="30">
        <f>ROUND(G48/J48*K48,2)</f>
      </c>
      <c r="M48" s="30">
        <f>L48*C48</f>
      </c>
      <c r="N48" s="23"/>
    </row>
    <row r="49" ht="32" customHeight="1" spans="1:14" s="16" customFormat="1" x14ac:dyDescent="0.25">
      <c r="A49" s="24">
        <v>30</v>
      </c>
      <c r="B49" s="24"/>
      <c r="C49" s="25"/>
      <c r="D49" s="26"/>
      <c r="E49" s="27">
        <f>L49</f>
      </c>
      <c r="F49" s="27">
        <f>M49</f>
      </c>
      <c r="G49" s="28">
        <f>I49/C49</f>
      </c>
      <c r="H49" s="28"/>
      <c r="I49" s="28">
        <f>H49*$H$18</f>
      </c>
      <c r="J49" s="29"/>
      <c r="K49" s="29"/>
      <c r="L49" s="30">
        <f>ROUND(G49/J49*K49,2)</f>
      </c>
      <c r="M49" s="30">
        <f>L49*C49</f>
      </c>
      <c r="N49" s="23"/>
    </row>
    <row r="50" ht="32" customHeight="1" spans="1:14" s="16" customFormat="1" x14ac:dyDescent="0.25">
      <c r="A50" s="24">
        <v>31</v>
      </c>
      <c r="B50" s="24"/>
      <c r="C50" s="25"/>
      <c r="D50" s="26"/>
      <c r="E50" s="27">
        <f>L50</f>
      </c>
      <c r="F50" s="27">
        <f>M50</f>
      </c>
      <c r="G50" s="28">
        <f>I50/C50</f>
      </c>
      <c r="H50" s="28"/>
      <c r="I50" s="28">
        <f>H50*$H$18</f>
      </c>
      <c r="J50" s="29"/>
      <c r="K50" s="29"/>
      <c r="L50" s="30">
        <f>ROUND(G50/J50*K50,2)</f>
      </c>
      <c r="M50" s="30">
        <f>L50*C50</f>
      </c>
      <c r="N50" s="23"/>
    </row>
    <row r="51" ht="32" customHeight="1" spans="1:14" s="16" customFormat="1" x14ac:dyDescent="0.25">
      <c r="A51" s="24">
        <v>32</v>
      </c>
      <c r="B51" s="24"/>
      <c r="C51" s="25"/>
      <c r="D51" s="26"/>
      <c r="E51" s="27">
        <f>L51</f>
      </c>
      <c r="F51" s="27">
        <f>M51</f>
      </c>
      <c r="G51" s="28">
        <f>I51/C51</f>
      </c>
      <c r="H51" s="28"/>
      <c r="I51" s="28">
        <f>H51*$H$18</f>
      </c>
      <c r="J51" s="29"/>
      <c r="K51" s="29"/>
      <c r="L51" s="30">
        <f>ROUND(G51/J51*K51,2)</f>
      </c>
      <c r="M51" s="30">
        <f>L51*C51</f>
      </c>
      <c r="N51" s="23"/>
    </row>
    <row r="52" ht="32" customHeight="1" spans="1:14" s="16" customFormat="1" x14ac:dyDescent="0.25">
      <c r="A52" s="24">
        <v>33</v>
      </c>
      <c r="B52" s="24"/>
      <c r="C52" s="25"/>
      <c r="D52" s="26"/>
      <c r="E52" s="27">
        <f>L52</f>
      </c>
      <c r="F52" s="27">
        <f>M52</f>
      </c>
      <c r="G52" s="28">
        <f>I52/C52</f>
      </c>
      <c r="H52" s="28"/>
      <c r="I52" s="28">
        <f>H52*$H$18</f>
      </c>
      <c r="J52" s="29"/>
      <c r="K52" s="29"/>
      <c r="L52" s="30">
        <f>ROUND(G52/J52*K52,2)</f>
      </c>
      <c r="M52" s="30">
        <f>L52*C52</f>
      </c>
      <c r="N52" s="23"/>
    </row>
    <row r="53" ht="32" customHeight="1" spans="1:14" s="16" customFormat="1" x14ac:dyDescent="0.25">
      <c r="A53" s="24">
        <v>34</v>
      </c>
      <c r="B53" s="24"/>
      <c r="C53" s="25"/>
      <c r="D53" s="26"/>
      <c r="E53" s="27">
        <f>L53</f>
      </c>
      <c r="F53" s="27">
        <f>M53</f>
      </c>
      <c r="G53" s="28">
        <f>I53/C53</f>
      </c>
      <c r="H53" s="28"/>
      <c r="I53" s="28">
        <f>H53*$H$18</f>
      </c>
      <c r="J53" s="29"/>
      <c r="K53" s="29"/>
      <c r="L53" s="30">
        <f>ROUND(G53/J53*K53,2)</f>
      </c>
      <c r="M53" s="30">
        <f>L53*C53</f>
      </c>
      <c r="N53" s="23"/>
    </row>
    <row r="54" ht="32" customHeight="1" spans="1:14" s="16" customFormat="1" x14ac:dyDescent="0.25">
      <c r="A54" s="24">
        <v>35</v>
      </c>
      <c r="B54" s="24"/>
      <c r="C54" s="25"/>
      <c r="D54" s="26"/>
      <c r="E54" s="27">
        <f>L54</f>
      </c>
      <c r="F54" s="27">
        <f>M54</f>
      </c>
      <c r="G54" s="28">
        <f>I54/C54</f>
      </c>
      <c r="H54" s="28"/>
      <c r="I54" s="28">
        <f>H54*$H$18</f>
      </c>
      <c r="J54" s="29"/>
      <c r="K54" s="29"/>
      <c r="L54" s="30">
        <f>ROUND(G54/J54*K54,2)</f>
      </c>
      <c r="M54" s="30">
        <f>L54*C54</f>
      </c>
      <c r="N54" s="23"/>
    </row>
    <row r="55" ht="32" customHeight="1" spans="1:14" s="16" customFormat="1" x14ac:dyDescent="0.25">
      <c r="A55" s="24">
        <v>36</v>
      </c>
      <c r="B55" s="24"/>
      <c r="C55" s="25"/>
      <c r="D55" s="26"/>
      <c r="E55" s="27">
        <f>L55</f>
      </c>
      <c r="F55" s="27">
        <f>M55</f>
      </c>
      <c r="G55" s="28">
        <f>I55/C55</f>
      </c>
      <c r="H55" s="28"/>
      <c r="I55" s="28">
        <f>H55*$H$18</f>
      </c>
      <c r="J55" s="29"/>
      <c r="K55" s="29"/>
      <c r="L55" s="30">
        <f>ROUND(G55/J55*K55,2)</f>
      </c>
      <c r="M55" s="30">
        <f>L55*C55</f>
      </c>
      <c r="N55" s="23"/>
    </row>
    <row r="56" ht="32" customHeight="1" spans="1:14" s="16" customFormat="1" x14ac:dyDescent="0.25">
      <c r="A56" s="24">
        <v>37</v>
      </c>
      <c r="B56" s="24"/>
      <c r="C56" s="25"/>
      <c r="D56" s="26"/>
      <c r="E56" s="27">
        <f>L56</f>
      </c>
      <c r="F56" s="27">
        <f>M56</f>
      </c>
      <c r="G56" s="28">
        <f>I56/C56</f>
      </c>
      <c r="H56" s="28"/>
      <c r="I56" s="28">
        <f>H56*$H$18</f>
      </c>
      <c r="J56" s="29"/>
      <c r="K56" s="29"/>
      <c r="L56" s="30">
        <f>ROUND(G56/J56*K56,2)</f>
      </c>
      <c r="M56" s="30">
        <f>L56*C56</f>
      </c>
      <c r="N56" s="23"/>
    </row>
    <row r="57" ht="32" customHeight="1" spans="1:14" s="16" customFormat="1" x14ac:dyDescent="0.25">
      <c r="A57" s="24">
        <v>38</v>
      </c>
      <c r="B57" s="24"/>
      <c r="C57" s="25"/>
      <c r="D57" s="26"/>
      <c r="E57" s="27">
        <f>L57</f>
      </c>
      <c r="F57" s="27">
        <f>M57</f>
      </c>
      <c r="G57" s="28">
        <f>I57/C57</f>
      </c>
      <c r="H57" s="28"/>
      <c r="I57" s="28">
        <f>H57*$H$18</f>
      </c>
      <c r="J57" s="29"/>
      <c r="K57" s="29"/>
      <c r="L57" s="30">
        <f>ROUND(G57/J57*K57,2)</f>
      </c>
      <c r="M57" s="30">
        <f>L57*C57</f>
      </c>
      <c r="N57" s="23"/>
    </row>
    <row r="58" ht="32" customHeight="1" spans="1:14" s="16" customFormat="1" x14ac:dyDescent="0.25">
      <c r="A58" s="24">
        <v>39</v>
      </c>
      <c r="B58" s="24"/>
      <c r="C58" s="25"/>
      <c r="D58" s="26"/>
      <c r="E58" s="27">
        <f>L58</f>
      </c>
      <c r="F58" s="27">
        <f>M58</f>
      </c>
      <c r="G58" s="28">
        <f>I58/C58</f>
      </c>
      <c r="H58" s="28"/>
      <c r="I58" s="28">
        <f>H58*$H$18</f>
      </c>
      <c r="J58" s="29"/>
      <c r="K58" s="29"/>
      <c r="L58" s="30">
        <f>ROUND(G58/J58*K58,2)</f>
      </c>
      <c r="M58" s="30">
        <f>L58*C58</f>
      </c>
      <c r="N58" s="23"/>
    </row>
    <row r="59" ht="32" customHeight="1" spans="1:14" s="16" customFormat="1" x14ac:dyDescent="0.25">
      <c r="A59" s="24">
        <v>40</v>
      </c>
      <c r="B59" s="24"/>
      <c r="C59" s="25"/>
      <c r="D59" s="26"/>
      <c r="E59" s="27">
        <f>L59</f>
      </c>
      <c r="F59" s="27">
        <f>M59</f>
      </c>
      <c r="G59" s="28">
        <f>I59/C59</f>
      </c>
      <c r="H59" s="28"/>
      <c r="I59" s="28">
        <f>H59*$H$18</f>
      </c>
      <c r="J59" s="29"/>
      <c r="K59" s="29"/>
      <c r="L59" s="30">
        <f>ROUND(G59/J59*K59,2)</f>
      </c>
      <c r="M59" s="30">
        <f>L59*C59</f>
      </c>
      <c r="N59" s="23"/>
    </row>
    <row r="60" ht="32" customHeight="1" spans="1:14" s="16" customFormat="1" x14ac:dyDescent="0.25">
      <c r="A60" s="24">
        <v>41</v>
      </c>
      <c r="B60" s="24"/>
      <c r="C60" s="25"/>
      <c r="D60" s="26"/>
      <c r="E60" s="27">
        <f>L60</f>
      </c>
      <c r="F60" s="27">
        <f>M60</f>
      </c>
      <c r="G60" s="28">
        <f>I60/C60</f>
      </c>
      <c r="H60" s="28"/>
      <c r="I60" s="28">
        <f>H60*$H$18</f>
      </c>
      <c r="J60" s="29"/>
      <c r="K60" s="29"/>
      <c r="L60" s="30">
        <f>ROUND(G60/J60*K60,2)</f>
      </c>
      <c r="M60" s="30">
        <f>L60*C60</f>
      </c>
      <c r="N60" s="23"/>
    </row>
    <row r="61" ht="32" customHeight="1" spans="1:14" s="16" customFormat="1" x14ac:dyDescent="0.25">
      <c r="A61" s="24">
        <v>42</v>
      </c>
      <c r="B61" s="24"/>
      <c r="C61" s="25"/>
      <c r="D61" s="26"/>
      <c r="E61" s="27">
        <f>L61</f>
      </c>
      <c r="F61" s="27">
        <f>M61</f>
      </c>
      <c r="G61" s="28">
        <f>I61/C61</f>
      </c>
      <c r="H61" s="28"/>
      <c r="I61" s="28">
        <f>H61*$H$18</f>
      </c>
      <c r="J61" s="29"/>
      <c r="K61" s="29"/>
      <c r="L61" s="30">
        <f>ROUND(G61/J61*K61,2)</f>
      </c>
      <c r="M61" s="30">
        <f>L61*C61</f>
      </c>
      <c r="N61" s="23"/>
    </row>
    <row r="62" ht="32" customHeight="1" spans="1:14" s="16" customFormat="1" x14ac:dyDescent="0.25">
      <c r="A62" s="24">
        <v>43</v>
      </c>
      <c r="B62" s="24"/>
      <c r="C62" s="25"/>
      <c r="D62" s="26"/>
      <c r="E62" s="27">
        <f>L62</f>
      </c>
      <c r="F62" s="27">
        <f>M62</f>
      </c>
      <c r="G62" s="28">
        <f>I62/C62</f>
      </c>
      <c r="H62" s="28"/>
      <c r="I62" s="28">
        <f>H62*$H$18</f>
      </c>
      <c r="J62" s="29"/>
      <c r="K62" s="29"/>
      <c r="L62" s="30">
        <f>ROUND(G62/J62*K62,2)</f>
      </c>
      <c r="M62" s="30">
        <f>L62*C62</f>
      </c>
      <c r="N62" s="23"/>
    </row>
    <row r="63" ht="32" customHeight="1" spans="1:14" s="16" customFormat="1" x14ac:dyDescent="0.25">
      <c r="A63" s="24">
        <v>44</v>
      </c>
      <c r="B63" s="24"/>
      <c r="C63" s="25"/>
      <c r="D63" s="26"/>
      <c r="E63" s="27">
        <f>L63</f>
      </c>
      <c r="F63" s="27">
        <f>M63</f>
      </c>
      <c r="G63" s="28">
        <f>I63/C63</f>
      </c>
      <c r="H63" s="28"/>
      <c r="I63" s="28">
        <f>H63*$H$18</f>
      </c>
      <c r="J63" s="29"/>
      <c r="K63" s="29"/>
      <c r="L63" s="30">
        <f>ROUND(G63/J63*K63,2)</f>
      </c>
      <c r="M63" s="30">
        <f>L63*C63</f>
      </c>
      <c r="N63" s="23"/>
    </row>
    <row r="64" ht="32" customHeight="1" spans="1:14" s="16" customFormat="1" x14ac:dyDescent="0.25">
      <c r="A64" s="24">
        <v>45</v>
      </c>
      <c r="B64" s="24"/>
      <c r="C64" s="25"/>
      <c r="D64" s="26"/>
      <c r="E64" s="27">
        <f>L64</f>
      </c>
      <c r="F64" s="27">
        <f>M64</f>
      </c>
      <c r="G64" s="28">
        <f>I64/C64</f>
      </c>
      <c r="H64" s="28"/>
      <c r="I64" s="28">
        <f>H64*$H$18</f>
      </c>
      <c r="J64" s="29"/>
      <c r="K64" s="29"/>
      <c r="L64" s="30">
        <f>ROUND(G64/J64*K64,2)</f>
      </c>
      <c r="M64" s="30">
        <f>L64*C64</f>
      </c>
      <c r="N64" s="23"/>
    </row>
    <row r="65" ht="32" customHeight="1" spans="1:14" s="16" customFormat="1" x14ac:dyDescent="0.25">
      <c r="A65" s="24">
        <v>46</v>
      </c>
      <c r="B65" s="24"/>
      <c r="C65" s="25"/>
      <c r="D65" s="26"/>
      <c r="E65" s="27">
        <f>L65</f>
      </c>
      <c r="F65" s="27">
        <f>M65</f>
      </c>
      <c r="G65" s="28">
        <f>I65/C65</f>
      </c>
      <c r="H65" s="28"/>
      <c r="I65" s="28">
        <f>H65*$H$18</f>
      </c>
      <c r="J65" s="29"/>
      <c r="K65" s="29"/>
      <c r="L65" s="30">
        <f>ROUND(G65/J65*K65,2)</f>
      </c>
      <c r="M65" s="30">
        <f>L65*C65</f>
      </c>
      <c r="N65" s="23"/>
    </row>
    <row r="66" ht="32" customHeight="1" spans="1:14" s="16" customFormat="1" x14ac:dyDescent="0.25">
      <c r="A66" s="24">
        <v>47</v>
      </c>
      <c r="B66" s="24"/>
      <c r="C66" s="25"/>
      <c r="D66" s="26"/>
      <c r="E66" s="27">
        <f>L66</f>
      </c>
      <c r="F66" s="27">
        <f>M66</f>
      </c>
      <c r="G66" s="28">
        <f>I66/C66</f>
      </c>
      <c r="H66" s="28"/>
      <c r="I66" s="28">
        <f>H66*$H$18</f>
      </c>
      <c r="J66" s="29"/>
      <c r="K66" s="29"/>
      <c r="L66" s="30">
        <f>ROUND(G66/J66*K66,2)</f>
      </c>
      <c r="M66" s="30">
        <f>L66*C66</f>
      </c>
      <c r="N66" s="23"/>
    </row>
    <row r="67" ht="32" customHeight="1" spans="1:14" s="16" customFormat="1" x14ac:dyDescent="0.25">
      <c r="A67" s="24">
        <v>48</v>
      </c>
      <c r="B67" s="24"/>
      <c r="C67" s="25"/>
      <c r="D67" s="26"/>
      <c r="E67" s="27">
        <f>L67</f>
      </c>
      <c r="F67" s="27">
        <f>M67</f>
      </c>
      <c r="G67" s="28">
        <f>I67/C67</f>
      </c>
      <c r="H67" s="28"/>
      <c r="I67" s="28">
        <f>H67*$H$18</f>
      </c>
      <c r="J67" s="29"/>
      <c r="K67" s="29"/>
      <c r="L67" s="30">
        <f>ROUND(G67/J67*K67,2)</f>
      </c>
      <c r="M67" s="30">
        <f>L67*C67</f>
      </c>
      <c r="N67" s="23"/>
    </row>
    <row r="68" ht="32" customHeight="1" spans="1:14" s="16" customFormat="1" x14ac:dyDescent="0.25">
      <c r="A68" s="24">
        <v>49</v>
      </c>
      <c r="B68" s="24"/>
      <c r="C68" s="25"/>
      <c r="D68" s="26"/>
      <c r="E68" s="27">
        <f>L68</f>
      </c>
      <c r="F68" s="27">
        <f>M68</f>
      </c>
      <c r="G68" s="28">
        <f>I68/C68</f>
      </c>
      <c r="H68" s="28"/>
      <c r="I68" s="28">
        <f>H68*$H$18</f>
      </c>
      <c r="J68" s="29"/>
      <c r="K68" s="29"/>
      <c r="L68" s="30">
        <f>ROUND(G68/J68*K68,2)</f>
      </c>
      <c r="M68" s="30">
        <f>L68*C68</f>
      </c>
      <c r="N68" s="23"/>
    </row>
    <row r="69" ht="32" customHeight="1" spans="1:14" s="16" customFormat="1" x14ac:dyDescent="0.25">
      <c r="A69" s="24">
        <v>50</v>
      </c>
      <c r="B69" s="24"/>
      <c r="C69" s="25"/>
      <c r="D69" s="26"/>
      <c r="E69" s="27">
        <f>L69</f>
      </c>
      <c r="F69" s="27">
        <f>M69</f>
      </c>
      <c r="G69" s="28">
        <f>I69/C69</f>
      </c>
      <c r="H69" s="28"/>
      <c r="I69" s="28">
        <f>H69*$H$18</f>
      </c>
      <c r="J69" s="29"/>
      <c r="K69" s="29"/>
      <c r="L69" s="30">
        <f>ROUND(G69/J69*K69,2)</f>
      </c>
      <c r="M69" s="30">
        <f>L69*C69</f>
      </c>
      <c r="N69" s="23"/>
    </row>
    <row r="70" ht="32" customHeight="1" spans="1:14" s="16" customFormat="1" x14ac:dyDescent="0.25">
      <c r="A70" s="24">
        <v>51</v>
      </c>
      <c r="B70" s="24"/>
      <c r="C70" s="25"/>
      <c r="D70" s="26"/>
      <c r="E70" s="27">
        <f>L70</f>
      </c>
      <c r="F70" s="27">
        <f>M70</f>
      </c>
      <c r="G70" s="28">
        <f>I70/C70</f>
      </c>
      <c r="H70" s="28"/>
      <c r="I70" s="28">
        <f>H70*$H$18</f>
      </c>
      <c r="J70" s="29"/>
      <c r="K70" s="29"/>
      <c r="L70" s="30">
        <f>ROUND(G70/J70*K70,2)</f>
      </c>
      <c r="M70" s="30">
        <f>L70*C70</f>
      </c>
      <c r="N70" s="23"/>
    </row>
    <row r="71" ht="32" customHeight="1" spans="1:14" s="16" customFormat="1" x14ac:dyDescent="0.25">
      <c r="A71" s="24">
        <v>52</v>
      </c>
      <c r="B71" s="24"/>
      <c r="C71" s="25"/>
      <c r="D71" s="26"/>
      <c r="E71" s="27">
        <f>L71</f>
      </c>
      <c r="F71" s="27">
        <f>M71</f>
      </c>
      <c r="G71" s="28">
        <f>I71/C71</f>
      </c>
      <c r="H71" s="28"/>
      <c r="I71" s="28">
        <f>H71*$H$18</f>
      </c>
      <c r="J71" s="29"/>
      <c r="K71" s="29"/>
      <c r="L71" s="30">
        <f>ROUND(G71/J71*K71,2)</f>
      </c>
      <c r="M71" s="30">
        <f>L71*C71</f>
      </c>
      <c r="N71" s="23"/>
    </row>
    <row r="72" ht="32" customHeight="1" spans="1:14" s="16" customFormat="1" x14ac:dyDescent="0.25">
      <c r="A72" s="24">
        <v>53</v>
      </c>
      <c r="B72" s="24"/>
      <c r="C72" s="25"/>
      <c r="D72" s="26"/>
      <c r="E72" s="27">
        <f>L72</f>
      </c>
      <c r="F72" s="27">
        <f>M72</f>
      </c>
      <c r="G72" s="28">
        <f>I72/C72</f>
      </c>
      <c r="H72" s="28"/>
      <c r="I72" s="28">
        <f>H72*$H$18</f>
      </c>
      <c r="J72" s="29"/>
      <c r="K72" s="29"/>
      <c r="L72" s="30">
        <f>ROUND(G72/J72*K72,2)</f>
      </c>
      <c r="M72" s="30">
        <f>L72*C72</f>
      </c>
      <c r="N72" s="23"/>
    </row>
    <row r="73" ht="32" customHeight="1" spans="1:14" s="16" customFormat="1" x14ac:dyDescent="0.25">
      <c r="A73" s="24">
        <v>54</v>
      </c>
      <c r="B73" s="24"/>
      <c r="C73" s="25"/>
      <c r="D73" s="26"/>
      <c r="E73" s="27">
        <f>L73</f>
      </c>
      <c r="F73" s="27">
        <f>M73</f>
      </c>
      <c r="G73" s="28">
        <f>I73/C73</f>
      </c>
      <c r="H73" s="28"/>
      <c r="I73" s="28">
        <f>H73*$H$18</f>
      </c>
      <c r="J73" s="29"/>
      <c r="K73" s="29"/>
      <c r="L73" s="30">
        <f>ROUND(G73/J73*K73,2)</f>
      </c>
      <c r="M73" s="30">
        <f>L73*C73</f>
      </c>
      <c r="N73" s="23"/>
    </row>
    <row r="74" ht="32" customHeight="1" spans="1:14" s="16" customFormat="1" x14ac:dyDescent="0.25">
      <c r="A74" s="24">
        <v>55</v>
      </c>
      <c r="B74" s="24"/>
      <c r="C74" s="25"/>
      <c r="D74" s="26"/>
      <c r="E74" s="27">
        <f>L74</f>
      </c>
      <c r="F74" s="27">
        <f>M74</f>
      </c>
      <c r="G74" s="28">
        <f>I74/C74</f>
      </c>
      <c r="H74" s="28"/>
      <c r="I74" s="28">
        <f>H74*$H$18</f>
      </c>
      <c r="J74" s="29"/>
      <c r="K74" s="29"/>
      <c r="L74" s="30">
        <f>ROUND(G74/J74*K74,2)</f>
      </c>
      <c r="M74" s="30">
        <f>L74*C74</f>
      </c>
      <c r="N74" s="23"/>
    </row>
    <row r="75" ht="32" customHeight="1" spans="1:14" s="16" customFormat="1" x14ac:dyDescent="0.25">
      <c r="A75" s="24">
        <v>56</v>
      </c>
      <c r="B75" s="24"/>
      <c r="C75" s="25"/>
      <c r="D75" s="26"/>
      <c r="E75" s="27">
        <f>L75</f>
      </c>
      <c r="F75" s="27">
        <f>M75</f>
      </c>
      <c r="G75" s="28">
        <f>I75/C75</f>
      </c>
      <c r="H75" s="28"/>
      <c r="I75" s="28">
        <f>H75*$H$18</f>
      </c>
      <c r="J75" s="29"/>
      <c r="K75" s="29"/>
      <c r="L75" s="30">
        <f>ROUND(G75/J75*K75,2)</f>
      </c>
      <c r="M75" s="30">
        <f>L75*C75</f>
      </c>
      <c r="N75" s="23"/>
    </row>
    <row r="76" ht="32" customHeight="1" spans="1:14" s="16" customFormat="1" x14ac:dyDescent="0.25">
      <c r="A76" s="24">
        <v>57</v>
      </c>
      <c r="B76" s="24"/>
      <c r="C76" s="25"/>
      <c r="D76" s="26"/>
      <c r="E76" s="27">
        <f>L76</f>
      </c>
      <c r="F76" s="27">
        <f>M76</f>
      </c>
      <c r="G76" s="28">
        <f>I76/C76</f>
      </c>
      <c r="H76" s="28"/>
      <c r="I76" s="28">
        <f>H76*$H$18</f>
      </c>
      <c r="J76" s="29"/>
      <c r="K76" s="29"/>
      <c r="L76" s="30">
        <f>ROUND(G76/J76*K76,2)</f>
      </c>
      <c r="M76" s="30">
        <f>L76*C76</f>
      </c>
      <c r="N76" s="23"/>
    </row>
    <row r="77" ht="32" customHeight="1" spans="1:14" s="16" customFormat="1" x14ac:dyDescent="0.25">
      <c r="A77" s="24">
        <v>58</v>
      </c>
      <c r="B77" s="24"/>
      <c r="C77" s="25"/>
      <c r="D77" s="26"/>
      <c r="E77" s="27">
        <f>L77</f>
      </c>
      <c r="F77" s="27">
        <f>M77</f>
      </c>
      <c r="G77" s="28">
        <f>I77/C77</f>
      </c>
      <c r="H77" s="28"/>
      <c r="I77" s="28">
        <f>H77*$H$18</f>
      </c>
      <c r="J77" s="29"/>
      <c r="K77" s="29"/>
      <c r="L77" s="30">
        <f>ROUND(G77/J77*K77,2)</f>
      </c>
      <c r="M77" s="30">
        <f>L77*C77</f>
      </c>
      <c r="N77" s="23"/>
    </row>
    <row r="78" ht="32" customHeight="1" spans="1:14" s="16" customFormat="1" x14ac:dyDescent="0.25">
      <c r="A78" s="24">
        <v>59</v>
      </c>
      <c r="B78" s="24"/>
      <c r="C78" s="25"/>
      <c r="D78" s="26"/>
      <c r="E78" s="27">
        <f>L78</f>
      </c>
      <c r="F78" s="27">
        <f>M78</f>
      </c>
      <c r="G78" s="28">
        <f>I78/C78</f>
      </c>
      <c r="H78" s="28"/>
      <c r="I78" s="28">
        <f>H78*$H$18</f>
      </c>
      <c r="J78" s="29"/>
      <c r="K78" s="29"/>
      <c r="L78" s="30">
        <f>ROUND(G78/J78*K78,2)</f>
      </c>
      <c r="M78" s="30">
        <f>L78*C78</f>
      </c>
      <c r="N78" s="23"/>
    </row>
    <row r="79" ht="32" customHeight="1" spans="1:14" s="16" customFormat="1" x14ac:dyDescent="0.25">
      <c r="A79" s="24">
        <v>60</v>
      </c>
      <c r="B79" s="24"/>
      <c r="C79" s="25"/>
      <c r="D79" s="26"/>
      <c r="E79" s="27">
        <f>L79</f>
      </c>
      <c r="F79" s="27">
        <f>M79</f>
      </c>
      <c r="G79" s="28">
        <f>I79/C79</f>
      </c>
      <c r="H79" s="28"/>
      <c r="I79" s="28">
        <f>H79*$H$18</f>
      </c>
      <c r="J79" s="29"/>
      <c r="K79" s="29"/>
      <c r="L79" s="30">
        <f>ROUND(G79/J79*K79,2)</f>
      </c>
      <c r="M79" s="30">
        <f>L79*C79</f>
      </c>
      <c r="N79" s="23"/>
    </row>
    <row r="80" ht="25" customHeight="1" spans="1:14" s="16" customFormat="1" x14ac:dyDescent="0.25">
      <c r="A80" s="31" t="s">
        <v>26</v>
      </c>
      <c r="B80" s="31"/>
      <c r="C80" s="31"/>
      <c r="D80" s="31"/>
      <c r="E80" s="31"/>
      <c r="F80" s="32">
        <f>SUM(F20:F79)</f>
      </c>
      <c r="G80" s="33"/>
      <c r="H80" s="34">
        <f>SUM(H20:H79)</f>
      </c>
      <c r="I80" s="34">
        <f>SUM(I20:I79)</f>
      </c>
      <c r="J80" s="34"/>
      <c r="K80" s="34"/>
      <c r="L80" s="34"/>
      <c r="M80" s="34">
        <f>SUM(M20:M79)</f>
      </c>
      <c r="N80" s="23"/>
    </row>
    <row r="81" ht="20.1" customHeight="1" spans="1:13" x14ac:dyDescent="0.25">
      <c r="A81" s="1"/>
      <c r="B81" s="1"/>
      <c r="C81" s="1"/>
      <c r="D81" s="1"/>
      <c r="E81" s="1"/>
      <c r="F81" s="1"/>
      <c r="G81" s="35"/>
      <c r="H81" s="36"/>
      <c r="I81" s="36"/>
      <c r="J81" s="36"/>
      <c r="K81" s="36"/>
      <c r="L81" s="36"/>
      <c r="M81" s="36"/>
    </row>
    <row r="82" ht="20.1" customHeight="1" spans="1:13" x14ac:dyDescent="0.25">
      <c r="A82" s="37" t="s">
        <v>27</v>
      </c>
      <c r="B82" s="12" t="s">
        <v>28</v>
      </c>
      <c r="C82" s="1"/>
      <c r="D82" s="1"/>
      <c r="E82" s="1"/>
      <c r="F82" s="1"/>
      <c r="G82" s="35"/>
      <c r="H82" s="36"/>
      <c r="I82" s="36"/>
      <c r="J82" s="38" t="s">
        <v>29</v>
      </c>
      <c r="K82" s="36"/>
      <c r="L82" s="36"/>
      <c r="M82" s="36"/>
    </row>
    <row r="83" ht="20.1" customHeight="1" spans="1:13" x14ac:dyDescent="0.25">
      <c r="A83" s="37" t="s">
        <v>30</v>
      </c>
      <c r="B83" s="12" t="s">
        <v>31</v>
      </c>
      <c r="C83" s="1"/>
      <c r="D83" s="1"/>
      <c r="E83" s="1"/>
      <c r="F83" s="1"/>
      <c r="G83" s="35"/>
      <c r="H83" s="36"/>
      <c r="I83" s="36"/>
      <c r="J83" s="36"/>
      <c r="K83" s="36"/>
      <c r="L83" s="36"/>
      <c r="M83" s="36"/>
    </row>
    <row r="84" ht="20.1" customHeight="1" spans="1:9" x14ac:dyDescent="0.25">
      <c r="A84" s="37" t="s">
        <v>32</v>
      </c>
      <c r="B84" s="39"/>
      <c r="C84" s="1"/>
      <c r="D84" s="1"/>
      <c r="E84" s="1"/>
      <c r="F84" s="1"/>
      <c r="G84" s="1"/>
      <c r="H84" s="40"/>
      <c r="I84" s="40"/>
    </row>
    <row r="85" ht="20.1" customHeight="1" spans="1:13" x14ac:dyDescent="0.25">
      <c r="A85" s="37" t="s">
        <v>33</v>
      </c>
      <c r="B85" s="12"/>
      <c r="C85" s="1"/>
      <c r="D85" s="1"/>
      <c r="E85" s="1"/>
      <c r="F85" s="1"/>
      <c r="G85" s="41" t="s">
        <v>34</v>
      </c>
      <c r="H85" s="42"/>
      <c r="I85" s="42"/>
      <c r="J85" s="43">
        <v>6.8167</v>
      </c>
      <c r="K85" s="43">
        <v>1.02</v>
      </c>
      <c r="L85" s="42"/>
      <c r="M85" s="42"/>
    </row>
    <row r="86" ht="20.1" customHeight="1" spans="1:2" x14ac:dyDescent="0.25">
      <c r="A86" s="37" t="s">
        <v>35</v>
      </c>
      <c r="B86" s="39" t="s">
        <v>36</v>
      </c>
    </row>
    <row r="87" ht="20.1" customHeight="1" spans="1:2" x14ac:dyDescent="0.25">
      <c r="A87" s="37" t="s">
        <v>37</v>
      </c>
      <c r="B87" s="12" t="s">
        <v>38</v>
      </c>
    </row>
    <row r="88" ht="20.1" customHeight="1" x14ac:dyDescent="0.25"/>
    <row r="89" ht="114" customHeight="1" spans="1:6" x14ac:dyDescent="0.25">
      <c r="A89" s="15" t="s">
        <v>39</v>
      </c>
      <c r="B89" s="15"/>
      <c r="C89" s="15"/>
      <c r="D89" s="15"/>
      <c r="E89" s="15"/>
      <c r="F89" s="15"/>
    </row>
    <row r="90" ht="20.1" customHeight="1" spans="1:9" x14ac:dyDescent="0.25">
      <c r="A90" s="1"/>
      <c r="B90" s="1"/>
      <c r="C90" s="1"/>
      <c r="D90" s="1"/>
      <c r="E90" s="1"/>
      <c r="F90" s="1"/>
      <c r="G90" s="1"/>
      <c r="H90" s="44" t="s">
        <v>40</v>
      </c>
      <c r="I90" s="45">
        <v>837782</v>
      </c>
    </row>
    <row r="91" ht="68.1" customHeight="1" spans="1:9" x14ac:dyDescent="0.25">
      <c r="A91" s="15" t="s">
        <v>41</v>
      </c>
      <c r="B91" s="15"/>
      <c r="C91" s="15"/>
      <c r="D91" s="15"/>
      <c r="E91" s="15"/>
      <c r="F91" s="15"/>
      <c r="G91" s="1"/>
      <c r="H91" s="44" t="s">
        <v>42</v>
      </c>
      <c r="I91" s="45">
        <v>84750</v>
      </c>
    </row>
    <row r="92" ht="20.1" customHeight="1" spans="1:9" x14ac:dyDescent="0.25">
      <c r="A92" s="1"/>
      <c r="B92" s="1"/>
      <c r="C92" s="1"/>
      <c r="D92" s="1"/>
      <c r="E92" s="1"/>
      <c r="F92" s="1"/>
      <c r="G92" s="1"/>
      <c r="H92" s="46" t="s">
        <v>43</v>
      </c>
      <c r="I92" s="45">
        <f>837782*0.3</f>
        <v>251334.6</v>
      </c>
    </row>
    <row r="93" ht="137" customHeight="1" spans="1:9" x14ac:dyDescent="0.25">
      <c r="A93" s="15" t="s">
        <v>44</v>
      </c>
      <c r="B93" s="15"/>
      <c r="C93" s="15"/>
      <c r="D93" s="15"/>
      <c r="E93" s="15"/>
      <c r="F93" s="15"/>
      <c r="G93" s="1"/>
      <c r="H93" s="44" t="s">
        <v>45</v>
      </c>
      <c r="I93" s="45">
        <v>78750</v>
      </c>
    </row>
    <row r="94" ht="20.1" customHeight="1" spans="1:9" x14ac:dyDescent="0.25">
      <c r="A94" s="1"/>
      <c r="B94" s="1"/>
      <c r="C94" s="1"/>
      <c r="D94" s="1"/>
      <c r="E94" s="1"/>
      <c r="F94" s="1"/>
      <c r="G94" s="1"/>
      <c r="H94" s="44" t="s">
        <v>46</v>
      </c>
      <c r="I94" s="45">
        <f>I46-I47-I48-I49</f>
        <v>422947.4</v>
      </c>
    </row>
    <row r="95" ht="102" customHeight="1" spans="1:6" x14ac:dyDescent="0.25">
      <c r="A95" s="15" t="s">
        <v>47</v>
      </c>
      <c r="B95" s="15"/>
      <c r="C95" s="15"/>
      <c r="D95" s="15"/>
      <c r="E95" s="15"/>
      <c r="F95" s="15"/>
    </row>
    <row r="96" ht="20.1" customHeight="1" x14ac:dyDescent="0.25"/>
    <row r="97" ht="20.1" customHeight="1" x14ac:dyDescent="0.25"/>
    <row r="98" ht="20.1" customHeight="1" spans="1:1" x14ac:dyDescent="0.25">
      <c r="A98" s="12"/>
    </row>
    <row r="99" ht="20.1" customHeight="1" spans="1:4" x14ac:dyDescent="0.25">
      <c r="A99" s="12"/>
      <c r="B99" s="1"/>
      <c r="C99" s="1"/>
      <c r="D99" s="12"/>
    </row>
    <row r="100" ht="20.1" customHeight="1" spans="1:4" x14ac:dyDescent="0.25">
      <c r="A100" s="12"/>
      <c r="B100" s="1"/>
      <c r="C100" s="1"/>
      <c r="D100" s="12"/>
    </row>
    <row r="101" ht="20.1" customHeight="1" spans="1:4" x14ac:dyDescent="0.25">
      <c r="A101" s="12"/>
      <c r="B101" s="1"/>
      <c r="C101" s="1"/>
      <c r="D101" s="12"/>
    </row>
    <row r="102" ht="20.1" customHeight="1" spans="1:4" x14ac:dyDescent="0.25">
      <c r="A102" s="12"/>
      <c r="B102" s="1"/>
      <c r="C102" s="1"/>
      <c r="D102" s="12"/>
    </row>
    <row r="103" ht="20.1" customHeight="1" spans="1:4" x14ac:dyDescent="0.25">
      <c r="A103" s="12"/>
      <c r="B103" s="1"/>
      <c r="C103" s="1"/>
      <c r="D103" s="12"/>
    </row>
    <row r="104" ht="20.1" customHeight="1" spans="1:4" x14ac:dyDescent="0.25">
      <c r="A104" s="12"/>
      <c r="B104" s="1"/>
      <c r="C104" s="1"/>
      <c r="D104" s="12"/>
    </row>
    <row r="105" ht="20.1" customHeight="1" spans="1:4" x14ac:dyDescent="0.25">
      <c r="A105" s="12"/>
      <c r="B105" s="1"/>
      <c r="C105" s="1"/>
      <c r="D105" s="12"/>
    </row>
    <row r="106" ht="20.1" customHeight="1" spans="1:4" x14ac:dyDescent="0.25">
      <c r="A106" s="12"/>
      <c r="B106" s="1"/>
      <c r="C106" s="1"/>
      <c r="D106" s="12"/>
    </row>
    <row r="107" ht="35.1" customHeight="1" spans="1:4" x14ac:dyDescent="0.25">
      <c r="A107" s="9" t="s">
        <v>48</v>
      </c>
      <c r="B107" s="10" t="s">
        <v>4</v>
      </c>
      <c r="C107" s="1"/>
      <c r="D107" s="9" t="s">
        <v>49</v>
      </c>
    </row>
    <row r="108" ht="20.1" customHeight="1" x14ac:dyDescent="0.25"/>
    <row r="109" ht="20.1" customHeight="1" x14ac:dyDescent="0.25"/>
    <row r="110" ht="20.1" customHeight="1" x14ac:dyDescent="0.25"/>
    <row r="111" ht="20.1" customHeight="1" x14ac:dyDescent="0.25"/>
    <row r="112" ht="20.1" customHeight="1" x14ac:dyDescent="0.25"/>
    <row r="113" ht="20.1" customHeight="1" x14ac:dyDescent="0.25"/>
    <row r="114" ht="20.1" customHeight="1" x14ac:dyDescent="0.25"/>
    <row r="115" ht="20.1" customHeight="1" x14ac:dyDescent="0.25"/>
    <row r="116" ht="20.1" customHeight="1" x14ac:dyDescent="0.25"/>
    <row r="117" ht="20.1" customHeight="1" x14ac:dyDescent="0.25"/>
    <row r="118" ht="20.1" customHeight="1" x14ac:dyDescent="0.25"/>
    <row r="119" ht="20.1" customHeight="1" x14ac:dyDescent="0.25"/>
    <row r="120" ht="20.1" customHeight="1" x14ac:dyDescent="0.25"/>
    <row r="121" ht="20.1" customHeight="1" x14ac:dyDescent="0.25"/>
    <row r="122" ht="20.1" customHeight="1" x14ac:dyDescent="0.25"/>
    <row r="123" ht="20.1" customHeight="1" x14ac:dyDescent="0.25"/>
    <row r="124" ht="20.1" customHeight="1" x14ac:dyDescent="0.25"/>
    <row r="125" ht="20.1" customHeight="1" x14ac:dyDescent="0.25"/>
    <row r="126" ht="20.1" customHeight="1" x14ac:dyDescent="0.25"/>
    <row r="127" ht="20.1" customHeight="1" x14ac:dyDescent="0.25"/>
    <row r="128" ht="20.1" customHeight="1" x14ac:dyDescent="0.25"/>
    <row r="129" ht="20.1" customHeight="1" x14ac:dyDescent="0.25"/>
    <row r="130" ht="20.1" customHeight="1" x14ac:dyDescent="0.25"/>
    <row r="131" ht="20.1" customHeight="1" x14ac:dyDescent="0.25"/>
    <row r="132" ht="20.1" customHeight="1" x14ac:dyDescent="0.25"/>
    <row r="133" ht="20.1" customHeight="1" x14ac:dyDescent="0.25"/>
    <row r="134" ht="20.1" customHeight="1" x14ac:dyDescent="0.25"/>
    <row r="135" ht="20.1" customHeight="1" x14ac:dyDescent="0.25"/>
    <row r="136" ht="20.1" customHeight="1" x14ac:dyDescent="0.25"/>
    <row r="137" ht="20.1" customHeight="1" x14ac:dyDescent="0.25"/>
    <row r="138" ht="20.1" customHeight="1" x14ac:dyDescent="0.25"/>
    <row r="139" ht="20.1" customHeight="1" x14ac:dyDescent="0.25"/>
    <row r="140" ht="20.1" customHeight="1" x14ac:dyDescent="0.25"/>
    <row r="141" ht="20.1" customHeight="1" x14ac:dyDescent="0.25"/>
    <row r="142" ht="20.1" customHeight="1" x14ac:dyDescent="0.25"/>
    <row r="143" ht="20.1" customHeight="1" x14ac:dyDescent="0.25"/>
    <row r="144" ht="20.1" customHeight="1" x14ac:dyDescent="0.25"/>
    <row r="145" ht="20.1" customHeight="1" x14ac:dyDescent="0.25"/>
    <row r="146" ht="20.1" customHeight="1" x14ac:dyDescent="0.25"/>
    <row r="147" ht="20.1" customHeight="1" x14ac:dyDescent="0.25"/>
    <row r="148" ht="20.1" customHeight="1" x14ac:dyDescent="0.25"/>
    <row r="149" ht="20.1" customHeight="1" x14ac:dyDescent="0.25"/>
    <row r="150" ht="20.1" customHeight="1" x14ac:dyDescent="0.25"/>
    <row r="151" ht="20.1" customHeight="1" x14ac:dyDescent="0.25"/>
    <row r="152" ht="20.1" customHeight="1" x14ac:dyDescent="0.25"/>
    <row r="153" ht="20.1" customHeight="1" x14ac:dyDescent="0.25"/>
    <row r="154" ht="20.1" customHeight="1" x14ac:dyDescent="0.25"/>
    <row r="155" ht="20.1" customHeight="1" x14ac:dyDescent="0.25"/>
    <row r="156" ht="20.1" customHeight="1" x14ac:dyDescent="0.25"/>
    <row r="157" ht="20.1" customHeight="1" x14ac:dyDescent="0.25"/>
    <row r="158" ht="20.1" customHeight="1" x14ac:dyDescent="0.25"/>
    <row r="159" ht="20.1" customHeight="1" x14ac:dyDescent="0.25"/>
    <row r="160" ht="20.1" customHeight="1" x14ac:dyDescent="0.25"/>
    <row r="161" ht="20.1" customHeight="1" x14ac:dyDescent="0.25"/>
    <row r="162" ht="20.1" customHeight="1" x14ac:dyDescent="0.25"/>
    <row r="163" ht="20.1" customHeight="1" x14ac:dyDescent="0.25"/>
    <row r="164" ht="20.1" customHeight="1" x14ac:dyDescent="0.25"/>
    <row r="165" ht="20.1" customHeight="1" x14ac:dyDescent="0.25"/>
    <row r="166" ht="20.1" customHeight="1" x14ac:dyDescent="0.25"/>
    <row r="167" ht="20.1" customHeight="1" x14ac:dyDescent="0.25"/>
    <row r="168" ht="20.1" customHeight="1" x14ac:dyDescent="0.25"/>
    <row r="169" ht="20.1" customHeight="1" x14ac:dyDescent="0.25"/>
    <row r="170" ht="20.1" customHeight="1" x14ac:dyDescent="0.25"/>
    <row r="171" ht="20.1" customHeight="1" x14ac:dyDescent="0.25"/>
    <row r="172" ht="20.1" customHeight="1" x14ac:dyDescent="0.25"/>
  </sheetData>
  <mergeCells count="11">
    <mergeCell ref="A1:F1"/>
    <mergeCell ref="E3:F3"/>
    <mergeCell ref="E4:F4"/>
    <mergeCell ref="E5:F5"/>
    <mergeCell ref="B8:F8"/>
    <mergeCell ref="A17:F17"/>
    <mergeCell ref="A80:E80"/>
    <mergeCell ref="A89:F89"/>
    <mergeCell ref="A91:F91"/>
    <mergeCell ref="A93:F93"/>
    <mergeCell ref="A95:F95"/>
  </mergeCells>
  <pageMargins left="0.75" right="0.75" top="1" bottom="1" header="0.5" footer="0.5"/>
  <pageSetup paperSize="9" orientation="portrait" horizontalDpi="4294967295" verticalDpi="4294967295" scale="65"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54"/>
  <sheetViews>
    <sheetView workbookViewId="0" zoomScale="110" zoomScaleNormal="110">
      <selection activeCell="P46" sqref="P46"/>
    </sheetView>
  </sheetViews>
  <sheetFormatPr defaultRowHeight="12.75" outlineLevelRow="0" outlineLevelCol="0" x14ac:dyDescent="0" defaultColWidth="8.85714285714286" customHeight="1"/>
  <cols>
    <col min="1" max="1" width="9" style="80" customWidth="1"/>
    <col min="2" max="2" width="13.2" style="80" customWidth="1"/>
    <col min="3" max="3" width="17.1428571428571" style="81" customWidth="1"/>
    <col min="4" max="4" width="14.2761904761905" style="80" customWidth="1"/>
    <col min="5" max="5" width="8.54285714285714" style="80" customWidth="1"/>
    <col min="6" max="6" width="7.6952380952381" style="80" customWidth="1"/>
    <col min="7" max="7" width="8.44761904761905" style="80" customWidth="1"/>
    <col min="8" max="8" width="4.90476190476191" style="80" customWidth="1"/>
    <col min="9" max="9" width="8.1047619047619" style="80" customWidth="1"/>
    <col min="10" max="10" width="9.28571428571429" style="80" customWidth="1"/>
    <col min="11" max="11" width="4.4" style="80" customWidth="1"/>
    <col min="12" max="13" width="11.4" style="80" customWidth="1"/>
    <col min="14" max="14" width="11" style="80" customWidth="1"/>
    <col min="15" max="15" width="13.2666666666667" style="80" customWidth="1"/>
    <col min="16" max="16" width="68.2571428571429" style="82" customWidth="1"/>
    <col min="17" max="18" width="9.85714285714286" style="80" customWidth="1"/>
    <col min="19" max="19" width="10.1428571428571" style="80" customWidth="1"/>
    <col min="20" max="16382" width="9.85714285714286" style="80" customWidth="1"/>
    <col min="16383" max="16384" width="8.85714285714286" style="80" customWidth="1"/>
  </cols>
  <sheetData>
    <row r="2" ht="25" customHeight="1" x14ac:dyDescent="0.25"/>
    <row r="3" spans="1:15" x14ac:dyDescent="0.25">
      <c r="A3" s="83" t="s">
        <v>73</v>
      </c>
      <c r="B3" s="84"/>
      <c r="C3" s="85"/>
      <c r="D3" s="84"/>
      <c r="E3" s="84"/>
      <c r="F3" s="84"/>
      <c r="G3" s="84"/>
      <c r="H3" s="84"/>
      <c r="I3" s="84"/>
      <c r="J3" s="84"/>
      <c r="K3" s="84"/>
      <c r="L3" s="84"/>
      <c r="M3" s="84"/>
      <c r="N3" s="84"/>
      <c r="O3" s="86"/>
    </row>
    <row r="4" ht="25.5" customHeight="1" spans="1:15" x14ac:dyDescent="0.25">
      <c r="A4" s="87"/>
      <c r="B4" s="88"/>
      <c r="C4" s="89"/>
      <c r="D4" s="88"/>
      <c r="E4" s="88"/>
      <c r="F4" s="88"/>
      <c r="G4" s="88"/>
      <c r="H4" s="88"/>
      <c r="I4" s="88"/>
      <c r="J4" s="88"/>
      <c r="K4" s="88"/>
      <c r="L4" s="88"/>
      <c r="M4" s="88"/>
      <c r="N4" s="88"/>
      <c r="O4" s="90"/>
    </row>
    <row r="5" spans="1:15" x14ac:dyDescent="0.25">
      <c r="A5" s="87" t="s">
        <v>74</v>
      </c>
      <c r="B5" s="88"/>
      <c r="C5" s="89" t="s">
        <v>75</v>
      </c>
      <c r="D5" s="88"/>
      <c r="E5" s="88"/>
      <c r="F5" s="88"/>
      <c r="G5" s="91" t="s">
        <v>76</v>
      </c>
      <c r="H5" s="91"/>
      <c r="I5" s="91"/>
      <c r="J5" s="91"/>
      <c r="K5" s="91"/>
      <c r="L5" s="92"/>
      <c r="M5" s="92"/>
      <c r="N5" s="88"/>
      <c r="O5" s="93" t="s">
        <v>77</v>
      </c>
    </row>
    <row r="6" ht="5" customHeight="1" spans="1:15" x14ac:dyDescent="0.25">
      <c r="A6" s="87"/>
      <c r="B6" s="88"/>
      <c r="C6" s="88"/>
      <c r="D6" s="89"/>
      <c r="E6" s="88"/>
      <c r="F6" s="88"/>
      <c r="G6" s="88"/>
      <c r="H6" s="88"/>
      <c r="I6" s="88"/>
      <c r="J6" s="88"/>
      <c r="K6" s="88"/>
      <c r="L6" s="88"/>
      <c r="M6" s="88"/>
      <c r="N6" s="88"/>
      <c r="O6" s="93"/>
    </row>
    <row r="7" ht="12.2" customHeight="1" spans="1:15" x14ac:dyDescent="0.25">
      <c r="A7" s="94" t="s">
        <v>78</v>
      </c>
      <c r="B7" s="95"/>
      <c r="C7" s="95"/>
      <c r="D7" s="96" t="s">
        <v>79</v>
      </c>
      <c r="E7" s="95"/>
      <c r="F7" s="95"/>
      <c r="G7" s="97" t="s">
        <v>80</v>
      </c>
      <c r="H7" s="95"/>
      <c r="I7" s="95"/>
      <c r="J7" s="95"/>
      <c r="K7" s="98"/>
      <c r="L7" s="95" t="s">
        <v>81</v>
      </c>
      <c r="M7" s="98"/>
      <c r="N7" s="95" t="s">
        <v>82</v>
      </c>
      <c r="O7" s="99"/>
    </row>
    <row r="8" ht="15" customHeight="1" spans="1:15" x14ac:dyDescent="0.25">
      <c r="A8" s="100" t="s">
        <v>83</v>
      </c>
      <c r="B8" s="101"/>
      <c r="C8" s="101"/>
      <c r="D8" s="102"/>
      <c r="E8" s="88"/>
      <c r="F8" s="88"/>
      <c r="G8" s="103"/>
      <c r="H8" s="101"/>
      <c r="I8" s="101"/>
      <c r="J8" s="101"/>
      <c r="K8" s="104"/>
      <c r="L8" s="103"/>
      <c r="M8" s="104"/>
      <c r="N8" s="103"/>
      <c r="O8" s="105"/>
    </row>
    <row r="9" ht="12.2" customHeight="1" spans="1:15" x14ac:dyDescent="0.25">
      <c r="A9" s="87" t="s">
        <v>84</v>
      </c>
      <c r="B9" s="88"/>
      <c r="C9" s="88"/>
      <c r="D9" s="96" t="s">
        <v>85</v>
      </c>
      <c r="E9" s="95"/>
      <c r="F9" s="95"/>
      <c r="G9" s="106" t="s">
        <v>86</v>
      </c>
      <c r="H9" s="88"/>
      <c r="I9" s="88"/>
      <c r="J9" s="88"/>
      <c r="K9" s="107"/>
      <c r="L9" s="106" t="s">
        <v>87</v>
      </c>
      <c r="M9" s="88"/>
      <c r="N9" s="88"/>
      <c r="O9" s="93"/>
    </row>
    <row r="10" ht="15" customHeight="1" spans="1:15" x14ac:dyDescent="0.25">
      <c r="A10" s="87" t="str">
        <f>'Sales Contract'!B11</f>
        <v>CSQUARE STEEL CO., LIMITED</v>
      </c>
      <c r="B10" s="108"/>
      <c r="C10" s="108"/>
      <c r="D10" s="102" t="s">
        <v>88</v>
      </c>
      <c r="E10" s="88"/>
      <c r="F10" s="88"/>
      <c r="G10" s="106"/>
      <c r="H10" s="88"/>
      <c r="I10" s="88"/>
      <c r="J10" s="88"/>
      <c r="K10" s="107"/>
      <c r="L10" s="106"/>
      <c r="M10" s="88"/>
      <c r="N10" s="88"/>
      <c r="O10" s="93"/>
    </row>
    <row r="11" ht="12.2" customHeight="1" spans="1:15" x14ac:dyDescent="0.25">
      <c r="A11" s="94" t="s">
        <v>89</v>
      </c>
      <c r="B11" s="95"/>
      <c r="C11" s="95"/>
      <c r="D11" s="96" t="s">
        <v>90</v>
      </c>
      <c r="E11" s="95"/>
      <c r="F11" s="95"/>
      <c r="G11" s="97" t="s">
        <v>91</v>
      </c>
      <c r="H11" s="95"/>
      <c r="I11" s="95"/>
      <c r="J11" s="95"/>
      <c r="K11" s="98"/>
      <c r="L11" s="95" t="s">
        <v>92</v>
      </c>
      <c r="M11" s="95"/>
      <c r="N11" s="95"/>
      <c r="O11" s="99"/>
    </row>
    <row r="12" ht="15" customHeight="1" spans="1:15" x14ac:dyDescent="0.25">
      <c r="A12" s="100" t="s">
        <v>83</v>
      </c>
      <c r="B12" s="101"/>
      <c r="C12" s="101"/>
      <c r="D12" s="102" t="s">
        <v>93</v>
      </c>
      <c r="E12" s="88"/>
      <c r="F12" s="88"/>
      <c r="G12" s="103" t="s">
        <v>94</v>
      </c>
      <c r="H12" s="101"/>
      <c r="I12" s="101"/>
      <c r="J12" s="101"/>
      <c r="K12" s="104"/>
      <c r="L12" s="103"/>
      <c r="M12" s="101"/>
      <c r="N12" s="101"/>
      <c r="O12" s="105"/>
    </row>
    <row r="13" ht="12.2" customHeight="1" spans="1:15" x14ac:dyDescent="0.25">
      <c r="A13" s="87" t="s">
        <v>95</v>
      </c>
      <c r="B13" s="88"/>
      <c r="C13" s="88"/>
      <c r="D13" s="96" t="s">
        <v>96</v>
      </c>
      <c r="E13" s="95"/>
      <c r="F13" s="95"/>
      <c r="G13" s="106" t="s">
        <v>97</v>
      </c>
      <c r="H13" s="88"/>
      <c r="I13" s="88"/>
      <c r="J13" s="88"/>
      <c r="K13" s="107"/>
      <c r="L13" s="106" t="s">
        <v>98</v>
      </c>
      <c r="M13" s="107"/>
      <c r="N13" s="88" t="s">
        <v>99</v>
      </c>
      <c r="O13" s="93"/>
    </row>
    <row r="14" ht="15" customHeight="1" spans="1:15" x14ac:dyDescent="0.25">
      <c r="A14" s="109" t="str">
        <f>'Sales Contract'!E3</f>
        <v>HKG26-024-B5&amp;005-B4</v>
      </c>
      <c r="B14" s="110"/>
      <c r="C14" s="88"/>
      <c r="D14" s="111"/>
      <c r="E14" s="88"/>
      <c r="F14" s="88"/>
      <c r="G14" s="112"/>
      <c r="H14" s="88"/>
      <c r="I14" s="88"/>
      <c r="J14" s="88"/>
      <c r="K14" s="107"/>
      <c r="L14" s="113"/>
      <c r="M14" s="107"/>
      <c r="N14" s="88"/>
      <c r="O14" s="93"/>
    </row>
    <row r="15" ht="12.2" customHeight="1" spans="1:15" x14ac:dyDescent="0.25">
      <c r="A15" s="94" t="s">
        <v>100</v>
      </c>
      <c r="B15" s="95"/>
      <c r="C15" s="95"/>
      <c r="D15" s="96" t="s">
        <v>101</v>
      </c>
      <c r="E15" s="97" t="s">
        <v>102</v>
      </c>
      <c r="F15" s="95"/>
      <c r="G15" s="97" t="s">
        <v>103</v>
      </c>
      <c r="H15" s="95"/>
      <c r="I15" s="98"/>
      <c r="J15" s="97" t="s">
        <v>104</v>
      </c>
      <c r="K15" s="98"/>
      <c r="L15" s="98" t="s">
        <v>105</v>
      </c>
      <c r="M15" s="97" t="s">
        <v>106</v>
      </c>
      <c r="N15" s="98"/>
      <c r="O15" s="99" t="s">
        <v>107</v>
      </c>
    </row>
    <row r="16" ht="15" customHeight="1" spans="1:15" x14ac:dyDescent="0.25">
      <c r="A16" s="114" t="s">
        <v>108</v>
      </c>
      <c r="B16" s="115"/>
      <c r="C16" s="115"/>
      <c r="D16" s="116">
        <f>Template_PL!D36</f>
        <v>557</v>
      </c>
      <c r="E16" s="117">
        <f>Template_PL!E36</f>
        <v>15067</v>
      </c>
      <c r="F16" s="118"/>
      <c r="G16" s="117">
        <f>Template_PL!F36</f>
        <v>14122</v>
      </c>
      <c r="H16" s="119"/>
      <c r="I16" s="120"/>
      <c r="J16" s="121" t="s">
        <v>109</v>
      </c>
      <c r="K16" s="120"/>
      <c r="L16" s="120"/>
      <c r="M16" s="121"/>
      <c r="N16" s="120"/>
      <c r="O16" s="122"/>
    </row>
    <row r="17" ht="12.2" customHeight="1" spans="1:15" x14ac:dyDescent="0.25">
      <c r="A17" s="87" t="s">
        <v>110</v>
      </c>
      <c r="B17" s="88"/>
      <c r="C17" s="89"/>
      <c r="D17" s="88"/>
      <c r="E17" s="88"/>
      <c r="F17" s="88"/>
      <c r="G17" s="88"/>
      <c r="H17" s="88"/>
      <c r="I17" s="88"/>
      <c r="J17" s="88"/>
      <c r="K17" s="88"/>
      <c r="L17" s="88"/>
      <c r="M17" s="88"/>
      <c r="N17" s="88"/>
      <c r="O17" s="93"/>
    </row>
    <row r="18" ht="9.75" customHeight="1" spans="1:15" x14ac:dyDescent="0.25">
      <c r="A18" s="123"/>
      <c r="B18" s="91"/>
      <c r="C18" s="124"/>
      <c r="D18" s="88"/>
      <c r="E18" s="88"/>
      <c r="F18" s="88"/>
      <c r="G18" s="125"/>
      <c r="H18" s="125"/>
      <c r="I18" s="125"/>
      <c r="J18" s="125"/>
      <c r="K18" s="125"/>
      <c r="L18" s="125"/>
      <c r="M18" s="125"/>
      <c r="N18" s="125"/>
      <c r="O18" s="93"/>
    </row>
    <row r="19" ht="17.45" customHeight="1" spans="1:15" x14ac:dyDescent="0.25">
      <c r="A19" s="94" t="s">
        <v>111</v>
      </c>
      <c r="B19" s="95"/>
      <c r="C19" s="126"/>
      <c r="D19" s="95"/>
      <c r="E19" s="95"/>
      <c r="F19" s="95"/>
      <c r="G19" s="95"/>
      <c r="H19" s="95"/>
      <c r="I19" s="95"/>
      <c r="J19" s="95"/>
      <c r="K19" s="95"/>
      <c r="L19" s="95"/>
      <c r="M19" s="95"/>
      <c r="N19" s="95"/>
      <c r="O19" s="99"/>
    </row>
    <row r="20" ht="29" customHeight="1" spans="1:15" x14ac:dyDescent="0.25">
      <c r="A20" s="100"/>
      <c r="B20" s="101"/>
      <c r="C20" s="127"/>
      <c r="D20" s="101"/>
      <c r="E20" s="101"/>
      <c r="F20" s="101"/>
      <c r="G20" s="101"/>
      <c r="H20" s="101"/>
      <c r="I20" s="101"/>
      <c r="J20" s="101"/>
      <c r="K20" s="101"/>
      <c r="L20" s="128"/>
      <c r="M20" s="128"/>
      <c r="N20" s="101"/>
      <c r="O20" s="105"/>
    </row>
    <row r="21" ht="29" customHeight="1" spans="1:16" x14ac:dyDescent="0.25">
      <c r="A21" s="94" t="s">
        <v>112</v>
      </c>
      <c r="B21" s="95" t="s">
        <v>113</v>
      </c>
      <c r="C21" s="126" t="s">
        <v>114</v>
      </c>
      <c r="D21" s="95"/>
      <c r="E21" s="95" t="s">
        <v>115</v>
      </c>
      <c r="F21" s="95"/>
      <c r="G21" s="95" t="s">
        <v>103</v>
      </c>
      <c r="H21" s="95"/>
      <c r="I21" s="95" t="s">
        <v>116</v>
      </c>
      <c r="J21" s="129"/>
      <c r="K21" s="95"/>
      <c r="L21" s="130" t="s">
        <v>117</v>
      </c>
      <c r="M21" s="130" t="s">
        <v>118</v>
      </c>
      <c r="N21" s="95" t="s">
        <v>119</v>
      </c>
      <c r="O21" s="99" t="s">
        <v>120</v>
      </c>
      <c r="P21" s="131"/>
    </row>
    <row r="22" ht="15" customHeight="1" spans="1:16" s="132" customFormat="1" x14ac:dyDescent="0.25">
      <c r="A22" s="133">
        <v>1</v>
      </c>
      <c r="B22" s="134"/>
      <c r="C22" s="135"/>
      <c r="D22" s="136"/>
      <c r="E22" s="134">
        <f>'Sales Contract'!C20</f>
      </c>
      <c r="F22" s="135"/>
      <c r="G22" s="134">
        <f>Template_PL!F20</f>
      </c>
      <c r="H22" s="137" t="s">
        <v>121</v>
      </c>
      <c r="I22" s="138">
        <f>'Sales Contract'!E20</f>
      </c>
      <c r="J22" s="138">
        <f>I22*E22</f>
      </c>
      <c r="K22" s="139" t="s">
        <v>122</v>
      </c>
      <c r="L22" s="140"/>
      <c r="M22" s="140"/>
      <c r="N22" s="141"/>
      <c r="O22" s="142"/>
      <c r="P22" s="131"/>
    </row>
    <row r="23" ht="15" customHeight="1" spans="1:16" s="132" customFormat="1" x14ac:dyDescent="0.25">
      <c r="A23" s="133">
        <v>2</v>
      </c>
      <c r="B23" s="134"/>
      <c r="C23" s="135"/>
      <c r="D23" s="136"/>
      <c r="E23" s="134">
        <f>'Sales Contract'!C21</f>
      </c>
      <c r="F23" s="135"/>
      <c r="G23" s="134">
        <f>Template_PL!F21</f>
      </c>
      <c r="H23" s="137" t="s">
        <v>121</v>
      </c>
      <c r="I23" s="138">
        <f>'Sales Contract'!E21</f>
      </c>
      <c r="J23" s="138">
        <f>I23*E23</f>
      </c>
      <c r="K23" s="139" t="s">
        <v>122</v>
      </c>
      <c r="L23" s="140"/>
      <c r="M23" s="140"/>
      <c r="N23" s="141"/>
      <c r="O23" s="142"/>
      <c r="P23" s="131"/>
    </row>
    <row r="24" ht="15" customHeight="1" spans="1:16" s="132" customFormat="1" x14ac:dyDescent="0.25">
      <c r="A24" s="133">
        <v>3</v>
      </c>
      <c r="B24" s="134"/>
      <c r="C24" s="135"/>
      <c r="D24" s="136"/>
      <c r="E24" s="134">
        <f>'Sales Contract'!C22</f>
      </c>
      <c r="F24" s="135"/>
      <c r="G24" s="134">
        <f>Template_PL!F22</f>
      </c>
      <c r="H24" s="137" t="s">
        <v>121</v>
      </c>
      <c r="I24" s="138">
        <f>'Sales Contract'!E22</f>
      </c>
      <c r="J24" s="138">
        <f>I24*E24</f>
      </c>
      <c r="K24" s="139" t="s">
        <v>122</v>
      </c>
      <c r="L24" s="140"/>
      <c r="M24" s="140"/>
      <c r="N24" s="141"/>
      <c r="O24" s="142"/>
      <c r="P24" s="131"/>
    </row>
    <row r="25" ht="15" customHeight="1" spans="1:16" s="132" customFormat="1" x14ac:dyDescent="0.25">
      <c r="A25" s="133">
        <v>4</v>
      </c>
      <c r="B25" s="134"/>
      <c r="C25" s="135"/>
      <c r="D25" s="136"/>
      <c r="E25" s="134">
        <f>'Sales Contract'!C23</f>
      </c>
      <c r="F25" s="135"/>
      <c r="G25" s="134">
        <f>Template_PL!F23</f>
      </c>
      <c r="H25" s="137" t="s">
        <v>121</v>
      </c>
      <c r="I25" s="138">
        <f>'Sales Contract'!E23</f>
      </c>
      <c r="J25" s="138">
        <f>I25*E25</f>
      </c>
      <c r="K25" s="139" t="s">
        <v>122</v>
      </c>
      <c r="L25" s="140"/>
      <c r="M25" s="140"/>
      <c r="N25" s="141"/>
      <c r="O25" s="142"/>
      <c r="P25" s="131"/>
    </row>
    <row r="26" ht="15" customHeight="1" spans="1:16" s="132" customFormat="1" x14ac:dyDescent="0.25">
      <c r="A26" s="133">
        <v>5</v>
      </c>
      <c r="B26" s="134"/>
      <c r="C26" s="135"/>
      <c r="D26" s="136"/>
      <c r="E26" s="134">
        <f>'Sales Contract'!C24</f>
      </c>
      <c r="F26" s="135"/>
      <c r="G26" s="134">
        <f>Template_PL!F24</f>
      </c>
      <c r="H26" s="137" t="s">
        <v>121</v>
      </c>
      <c r="I26" s="138">
        <f>'Sales Contract'!E24</f>
      </c>
      <c r="J26" s="138">
        <f>I26*E26</f>
      </c>
      <c r="K26" s="139" t="s">
        <v>122</v>
      </c>
      <c r="L26" s="140"/>
      <c r="M26" s="140"/>
      <c r="N26" s="141"/>
      <c r="O26" s="142"/>
      <c r="P26" s="131"/>
    </row>
    <row r="27" ht="15" customHeight="1" spans="1:16" s="132" customFormat="1" x14ac:dyDescent="0.25">
      <c r="A27" s="133">
        <v>6</v>
      </c>
      <c r="B27" s="134"/>
      <c r="C27" s="135"/>
      <c r="D27" s="136"/>
      <c r="E27" s="134">
        <f>'Sales Contract'!C25</f>
      </c>
      <c r="F27" s="135"/>
      <c r="G27" s="134">
        <f>Template_PL!F25</f>
      </c>
      <c r="H27" s="137" t="s">
        <v>121</v>
      </c>
      <c r="I27" s="138">
        <f>'Sales Contract'!E25</f>
      </c>
      <c r="J27" s="138">
        <f>I27*E27</f>
      </c>
      <c r="K27" s="139" t="s">
        <v>122</v>
      </c>
      <c r="L27" s="140"/>
      <c r="M27" s="140"/>
      <c r="N27" s="141"/>
      <c r="O27" s="142"/>
      <c r="P27" s="131"/>
    </row>
    <row r="28" ht="15" customHeight="1" spans="1:16" s="132" customFormat="1" x14ac:dyDescent="0.25">
      <c r="A28" s="133">
        <v>7</v>
      </c>
      <c r="B28" s="134"/>
      <c r="C28" s="135"/>
      <c r="D28" s="136"/>
      <c r="E28" s="134">
        <f>'Sales Contract'!C26</f>
      </c>
      <c r="F28" s="135"/>
      <c r="G28" s="134">
        <f>Template_PL!F26</f>
      </c>
      <c r="H28" s="137" t="s">
        <v>121</v>
      </c>
      <c r="I28" s="138">
        <f>'Sales Contract'!E26</f>
      </c>
      <c r="J28" s="138">
        <f>I28*E28</f>
      </c>
      <c r="K28" s="139" t="s">
        <v>122</v>
      </c>
      <c r="L28" s="140"/>
      <c r="M28" s="140"/>
      <c r="N28" s="141"/>
      <c r="O28" s="142"/>
      <c r="P28" s="131"/>
    </row>
    <row r="29" ht="15" customHeight="1" spans="1:16" s="132" customFormat="1" x14ac:dyDescent="0.25">
      <c r="A29" s="133">
        <v>8</v>
      </c>
      <c r="B29" s="134"/>
      <c r="C29" s="135"/>
      <c r="D29" s="136"/>
      <c r="E29" s="134">
        <f>'Sales Contract'!C27</f>
      </c>
      <c r="F29" s="135"/>
      <c r="G29" s="134">
        <f>Template_PL!F27</f>
      </c>
      <c r="H29" s="137" t="s">
        <v>121</v>
      </c>
      <c r="I29" s="138">
        <f>'Sales Contract'!E27</f>
      </c>
      <c r="J29" s="138">
        <f>I29*E29</f>
      </c>
      <c r="K29" s="139" t="s">
        <v>122</v>
      </c>
      <c r="L29" s="140"/>
      <c r="M29" s="140"/>
      <c r="N29" s="141"/>
      <c r="O29" s="142"/>
      <c r="P29" s="131"/>
    </row>
    <row r="30" ht="15" customHeight="1" spans="1:16" s="132" customFormat="1" x14ac:dyDescent="0.25">
      <c r="A30" s="133">
        <v>9</v>
      </c>
      <c r="B30" s="134"/>
      <c r="C30" s="135"/>
      <c r="D30" s="136"/>
      <c r="E30" s="134">
        <f>'Sales Contract'!C28</f>
      </c>
      <c r="F30" s="135"/>
      <c r="G30" s="134">
        <f>Template_PL!F28</f>
      </c>
      <c r="H30" s="137" t="s">
        <v>121</v>
      </c>
      <c r="I30" s="138">
        <f>'Sales Contract'!E28</f>
      </c>
      <c r="J30" s="138">
        <f>I30*E30</f>
      </c>
      <c r="K30" s="139" t="s">
        <v>122</v>
      </c>
      <c r="L30" s="140"/>
      <c r="M30" s="140"/>
      <c r="N30" s="141"/>
      <c r="O30" s="142"/>
      <c r="P30" s="131"/>
    </row>
    <row r="31" ht="15" customHeight="1" spans="1:16" s="132" customFormat="1" x14ac:dyDescent="0.25">
      <c r="A31" s="133">
        <v>10</v>
      </c>
      <c r="B31" s="134"/>
      <c r="C31" s="135"/>
      <c r="D31" s="136"/>
      <c r="E31" s="134">
        <f>'Sales Contract'!C29</f>
      </c>
      <c r="F31" s="135"/>
      <c r="G31" s="134">
        <f>Template_PL!F29</f>
      </c>
      <c r="H31" s="137" t="s">
        <v>121</v>
      </c>
      <c r="I31" s="138">
        <f>'Sales Contract'!E29</f>
      </c>
      <c r="J31" s="138">
        <f>I31*E31</f>
      </c>
      <c r="K31" s="139" t="s">
        <v>122</v>
      </c>
      <c r="L31" s="140"/>
      <c r="M31" s="140"/>
      <c r="N31" s="141"/>
      <c r="O31" s="142"/>
      <c r="P31" s="131"/>
    </row>
    <row r="32" ht="15" customHeight="1" spans="1:16" s="132" customFormat="1" x14ac:dyDescent="0.25">
      <c r="A32" s="133">
        <v>11</v>
      </c>
      <c r="B32" s="134"/>
      <c r="C32" s="135"/>
      <c r="D32" s="136"/>
      <c r="E32" s="134">
        <f>'Sales Contract'!C30</f>
      </c>
      <c r="F32" s="135"/>
      <c r="G32" s="134">
        <f>Template_PL!F30</f>
      </c>
      <c r="H32" s="137" t="s">
        <v>121</v>
      </c>
      <c r="I32" s="138">
        <f>'Sales Contract'!E30</f>
      </c>
      <c r="J32" s="138">
        <f>I32*E32</f>
      </c>
      <c r="K32" s="139" t="s">
        <v>122</v>
      </c>
      <c r="L32" s="140"/>
      <c r="M32" s="140"/>
      <c r="N32" s="141"/>
      <c r="O32" s="142"/>
      <c r="P32" s="131"/>
    </row>
    <row r="33" ht="15" customHeight="1" spans="1:16" s="132" customFormat="1" x14ac:dyDescent="0.25">
      <c r="A33" s="133">
        <v>12</v>
      </c>
      <c r="B33" s="134"/>
      <c r="C33" s="135"/>
      <c r="D33" s="136"/>
      <c r="E33" s="134">
        <f>'Sales Contract'!C31</f>
      </c>
      <c r="F33" s="135"/>
      <c r="G33" s="134">
        <f>Template_PL!F31</f>
      </c>
      <c r="H33" s="137" t="s">
        <v>121</v>
      </c>
      <c r="I33" s="138">
        <f>'Sales Contract'!E31</f>
      </c>
      <c r="J33" s="138">
        <f>I33*E33</f>
      </c>
      <c r="K33" s="139" t="s">
        <v>122</v>
      </c>
      <c r="L33" s="140"/>
      <c r="M33" s="140"/>
      <c r="N33" s="141"/>
      <c r="O33" s="142"/>
      <c r="P33" s="131"/>
    </row>
    <row r="34" ht="15" customHeight="1" spans="1:16" s="132" customFormat="1" x14ac:dyDescent="0.25">
      <c r="A34" s="133">
        <v>13</v>
      </c>
      <c r="B34" s="134"/>
      <c r="C34" s="135"/>
      <c r="D34" s="136"/>
      <c r="E34" s="134">
        <f>'Sales Contract'!C32</f>
      </c>
      <c r="F34" s="135"/>
      <c r="G34" s="134">
        <f>Template_PL!F32</f>
      </c>
      <c r="H34" s="137" t="s">
        <v>121</v>
      </c>
      <c r="I34" s="138">
        <f>'Sales Contract'!E32</f>
      </c>
      <c r="J34" s="138">
        <f>I34*E34</f>
      </c>
      <c r="K34" s="139" t="s">
        <v>122</v>
      </c>
      <c r="L34" s="140"/>
      <c r="M34" s="140"/>
      <c r="N34" s="141"/>
      <c r="O34" s="142"/>
      <c r="P34" s="131"/>
    </row>
    <row r="35" ht="15" customHeight="1" spans="1:16" s="132" customFormat="1" x14ac:dyDescent="0.25">
      <c r="A35" s="133">
        <v>14</v>
      </c>
      <c r="B35" s="134"/>
      <c r="C35" s="135"/>
      <c r="D35" s="136"/>
      <c r="E35" s="134">
        <f>'Sales Contract'!C33</f>
      </c>
      <c r="F35" s="135"/>
      <c r="G35" s="134">
        <f>Template_PL!F33</f>
      </c>
      <c r="H35" s="137" t="s">
        <v>121</v>
      </c>
      <c r="I35" s="138">
        <f>'Sales Contract'!E33</f>
      </c>
      <c r="J35" s="138">
        <f>I35*E35</f>
      </c>
      <c r="K35" s="139" t="s">
        <v>122</v>
      </c>
      <c r="L35" s="140"/>
      <c r="M35" s="140"/>
      <c r="N35" s="141"/>
      <c r="O35" s="142"/>
      <c r="P35" s="131"/>
    </row>
    <row r="36" ht="15" customHeight="1" spans="1:16" s="132" customFormat="1" x14ac:dyDescent="0.25">
      <c r="A36" s="133">
        <v>15</v>
      </c>
      <c r="B36" s="134"/>
      <c r="C36" s="135"/>
      <c r="D36" s="136"/>
      <c r="E36" s="134">
        <f>'Sales Contract'!C34</f>
      </c>
      <c r="F36" s="135"/>
      <c r="G36" s="134">
        <f>Template_PL!F34</f>
      </c>
      <c r="H36" s="137" t="s">
        <v>121</v>
      </c>
      <c r="I36" s="138">
        <f>'Sales Contract'!E34</f>
      </c>
      <c r="J36" s="138">
        <f>I36*E36</f>
      </c>
      <c r="K36" s="139" t="s">
        <v>122</v>
      </c>
      <c r="L36" s="140"/>
      <c r="M36" s="140"/>
      <c r="N36" s="141"/>
      <c r="O36" s="142"/>
      <c r="P36" s="131"/>
    </row>
    <row r="37" ht="15" customHeight="1" spans="1:16" s="132" customFormat="1" x14ac:dyDescent="0.25">
      <c r="A37" s="133">
        <v>16</v>
      </c>
      <c r="B37" s="134"/>
      <c r="C37" s="135"/>
      <c r="D37" s="136"/>
      <c r="E37" s="134">
        <f>'Sales Contract'!C35</f>
      </c>
      <c r="F37" s="135"/>
      <c r="G37" s="134">
        <f>Template_PL!F35</f>
      </c>
      <c r="H37" s="137" t="s">
        <v>121</v>
      </c>
      <c r="I37" s="138">
        <f>'Sales Contract'!E35</f>
      </c>
      <c r="J37" s="138">
        <f>I37*E37</f>
      </c>
      <c r="K37" s="139" t="s">
        <v>122</v>
      </c>
      <c r="L37" s="140"/>
      <c r="M37" s="140"/>
      <c r="N37" s="141"/>
      <c r="O37" s="142"/>
      <c r="P37" s="131"/>
    </row>
    <row r="38" ht="15" customHeight="1" spans="1:16" s="132" customFormat="1" x14ac:dyDescent="0.25">
      <c r="A38" s="133">
        <v>17</v>
      </c>
      <c r="B38" s="134"/>
      <c r="C38" s="135"/>
      <c r="D38" s="136"/>
      <c r="E38" s="134">
        <f>'Sales Contract'!C36</f>
      </c>
      <c r="F38" s="135"/>
      <c r="G38" s="134">
        <f>Template_PL!F36</f>
      </c>
      <c r="H38" s="137" t="s">
        <v>121</v>
      </c>
      <c r="I38" s="138">
        <f>'Sales Contract'!E36</f>
      </c>
      <c r="J38" s="138">
        <f>I38*E38</f>
      </c>
      <c r="K38" s="139" t="s">
        <v>122</v>
      </c>
      <c r="L38" s="140"/>
      <c r="M38" s="140"/>
      <c r="N38" s="141"/>
      <c r="O38" s="142"/>
      <c r="P38" s="131"/>
    </row>
    <row r="39" ht="15" customHeight="1" spans="1:16" s="132" customFormat="1" x14ac:dyDescent="0.25">
      <c r="A39" s="133">
        <v>18</v>
      </c>
      <c r="B39" s="134"/>
      <c r="C39" s="135"/>
      <c r="D39" s="136"/>
      <c r="E39" s="134">
        <f>'Sales Contract'!C37</f>
      </c>
      <c r="F39" s="135"/>
      <c r="G39" s="134">
        <f>Template_PL!F37</f>
      </c>
      <c r="H39" s="137" t="s">
        <v>121</v>
      </c>
      <c r="I39" s="138">
        <f>'Sales Contract'!E37</f>
      </c>
      <c r="J39" s="138">
        <f>I39*E39</f>
      </c>
      <c r="K39" s="139" t="s">
        <v>122</v>
      </c>
      <c r="L39" s="140"/>
      <c r="M39" s="140"/>
      <c r="N39" s="141"/>
      <c r="O39" s="142"/>
      <c r="P39" s="131"/>
    </row>
    <row r="40" ht="15" customHeight="1" spans="1:16" s="132" customFormat="1" x14ac:dyDescent="0.25">
      <c r="A40" s="133">
        <v>19</v>
      </c>
      <c r="B40" s="134"/>
      <c r="C40" s="135"/>
      <c r="D40" s="136"/>
      <c r="E40" s="134">
        <f>'Sales Contract'!C38</f>
      </c>
      <c r="F40" s="135"/>
      <c r="G40" s="134">
        <f>Template_PL!F38</f>
      </c>
      <c r="H40" s="137" t="s">
        <v>121</v>
      </c>
      <c r="I40" s="138">
        <f>'Sales Contract'!E38</f>
      </c>
      <c r="J40" s="138">
        <f>I40*E40</f>
      </c>
      <c r="K40" s="139" t="s">
        <v>122</v>
      </c>
      <c r="L40" s="140"/>
      <c r="M40" s="140"/>
      <c r="N40" s="141"/>
      <c r="O40" s="142"/>
      <c r="P40" s="131"/>
    </row>
    <row r="41" ht="15" customHeight="1" spans="1:16" s="132" customFormat="1" x14ac:dyDescent="0.25">
      <c r="A41" s="133">
        <v>20</v>
      </c>
      <c r="B41" s="134"/>
      <c r="C41" s="135"/>
      <c r="D41" s="136"/>
      <c r="E41" s="134">
        <f>'Sales Contract'!C39</f>
      </c>
      <c r="F41" s="135"/>
      <c r="G41" s="134">
        <f>Template_PL!F39</f>
      </c>
      <c r="H41" s="137" t="s">
        <v>121</v>
      </c>
      <c r="I41" s="138">
        <f>'Sales Contract'!E39</f>
      </c>
      <c r="J41" s="138">
        <f>I41*E41</f>
      </c>
      <c r="K41" s="139" t="s">
        <v>122</v>
      </c>
      <c r="L41" s="140"/>
      <c r="M41" s="140"/>
      <c r="N41" s="141"/>
      <c r="O41" s="142"/>
      <c r="P41" s="131"/>
    </row>
    <row r="42" ht="15" customHeight="1" spans="1:16" s="132" customFormat="1" x14ac:dyDescent="0.25">
      <c r="A42" s="133">
        <v>21</v>
      </c>
      <c r="B42" s="134"/>
      <c r="C42" s="135"/>
      <c r="D42" s="136"/>
      <c r="E42" s="134">
        <f>'Sales Contract'!C40</f>
      </c>
      <c r="F42" s="135"/>
      <c r="G42" s="134">
        <f>Template_PL!F40</f>
      </c>
      <c r="H42" s="137" t="s">
        <v>121</v>
      </c>
      <c r="I42" s="138">
        <f>'Sales Contract'!E40</f>
      </c>
      <c r="J42" s="138">
        <f>I42*E42</f>
      </c>
      <c r="K42" s="139" t="s">
        <v>122</v>
      </c>
      <c r="L42" s="140"/>
      <c r="M42" s="140"/>
      <c r="N42" s="141"/>
      <c r="O42" s="142"/>
      <c r="P42" s="131"/>
    </row>
    <row r="43" ht="15" customHeight="1" spans="1:16" s="132" customFormat="1" x14ac:dyDescent="0.25">
      <c r="A43" s="133">
        <v>22</v>
      </c>
      <c r="B43" s="134"/>
      <c r="C43" s="135"/>
      <c r="D43" s="136"/>
      <c r="E43" s="134">
        <f>'Sales Contract'!C41</f>
      </c>
      <c r="F43" s="135"/>
      <c r="G43" s="134">
        <f>Template_PL!F41</f>
      </c>
      <c r="H43" s="137" t="s">
        <v>121</v>
      </c>
      <c r="I43" s="138">
        <f>'Sales Contract'!E41</f>
      </c>
      <c r="J43" s="138">
        <f>I43*E43</f>
      </c>
      <c r="K43" s="139" t="s">
        <v>122</v>
      </c>
      <c r="L43" s="140"/>
      <c r="M43" s="140"/>
      <c r="N43" s="141"/>
      <c r="O43" s="142"/>
      <c r="P43" s="131"/>
    </row>
    <row r="44" ht="15" customHeight="1" spans="1:16" s="132" customFormat="1" x14ac:dyDescent="0.25">
      <c r="A44" s="133">
        <v>23</v>
      </c>
      <c r="B44" s="134"/>
      <c r="C44" s="135"/>
      <c r="D44" s="136"/>
      <c r="E44" s="134">
        <f>'Sales Contract'!C42</f>
      </c>
      <c r="F44" s="135"/>
      <c r="G44" s="134">
        <f>Template_PL!F42</f>
      </c>
      <c r="H44" s="137" t="s">
        <v>121</v>
      </c>
      <c r="I44" s="138">
        <f>'Sales Contract'!E42</f>
      </c>
      <c r="J44" s="138">
        <f>I44*E44</f>
      </c>
      <c r="K44" s="139" t="s">
        <v>122</v>
      </c>
      <c r="L44" s="140"/>
      <c r="M44" s="140"/>
      <c r="N44" s="141"/>
      <c r="O44" s="142"/>
      <c r="P44" s="131"/>
    </row>
    <row r="45" ht="15" customHeight="1" spans="1:16" s="132" customFormat="1" x14ac:dyDescent="0.25">
      <c r="A45" s="133">
        <v>24</v>
      </c>
      <c r="B45" s="134"/>
      <c r="C45" s="135"/>
      <c r="D45" s="136"/>
      <c r="E45" s="134">
        <f>'Sales Contract'!C43</f>
      </c>
      <c r="F45" s="135"/>
      <c r="G45" s="134">
        <f>Template_PL!F43</f>
      </c>
      <c r="H45" s="137" t="s">
        <v>121</v>
      </c>
      <c r="I45" s="138">
        <f>'Sales Contract'!E43</f>
      </c>
      <c r="J45" s="138">
        <f>I45*E45</f>
      </c>
      <c r="K45" s="139" t="s">
        <v>122</v>
      </c>
      <c r="L45" s="140"/>
      <c r="M45" s="140"/>
      <c r="N45" s="141"/>
      <c r="O45" s="142"/>
      <c r="P45" s="131"/>
    </row>
    <row r="46" ht="15" customHeight="1" spans="1:16" s="132" customFormat="1" x14ac:dyDescent="0.25">
      <c r="A46" s="133">
        <v>25</v>
      </c>
      <c r="B46" s="134"/>
      <c r="C46" s="135"/>
      <c r="D46" s="136"/>
      <c r="E46" s="134">
        <f>'Sales Contract'!C44</f>
      </c>
      <c r="F46" s="135"/>
      <c r="G46" s="134">
        <f>Template_PL!F44</f>
      </c>
      <c r="H46" s="137" t="s">
        <v>121</v>
      </c>
      <c r="I46" s="138">
        <f>'Sales Contract'!E44</f>
      </c>
      <c r="J46" s="138">
        <f>I46*E46</f>
      </c>
      <c r="K46" s="139" t="s">
        <v>122</v>
      </c>
      <c r="L46" s="140"/>
      <c r="M46" s="140"/>
      <c r="N46" s="141"/>
      <c r="O46" s="142"/>
      <c r="P46" s="131"/>
    </row>
    <row r="47" ht="15" customHeight="1" spans="1:16" s="132" customFormat="1" x14ac:dyDescent="0.25">
      <c r="A47" s="133">
        <v>26</v>
      </c>
      <c r="B47" s="134"/>
      <c r="C47" s="135"/>
      <c r="D47" s="136"/>
      <c r="E47" s="134">
        <f>'Sales Contract'!C45</f>
      </c>
      <c r="F47" s="135"/>
      <c r="G47" s="134">
        <f>Template_PL!F45</f>
      </c>
      <c r="H47" s="137" t="s">
        <v>121</v>
      </c>
      <c r="I47" s="138">
        <f>'Sales Contract'!E45</f>
      </c>
      <c r="J47" s="138">
        <f>I47*E47</f>
      </c>
      <c r="K47" s="139" t="s">
        <v>122</v>
      </c>
      <c r="L47" s="140"/>
      <c r="M47" s="140"/>
      <c r="N47" s="141"/>
      <c r="O47" s="142"/>
      <c r="P47" s="131"/>
    </row>
    <row r="48" ht="15" customHeight="1" spans="1:16" s="132" customFormat="1" x14ac:dyDescent="0.25">
      <c r="A48" s="133">
        <v>27</v>
      </c>
      <c r="B48" s="134"/>
      <c r="C48" s="135"/>
      <c r="D48" s="136"/>
      <c r="E48" s="134">
        <f>'Sales Contract'!C46</f>
      </c>
      <c r="F48" s="135"/>
      <c r="G48" s="134">
        <f>Template_PL!F46</f>
      </c>
      <c r="H48" s="137" t="s">
        <v>121</v>
      </c>
      <c r="I48" s="138">
        <f>'Sales Contract'!E46</f>
      </c>
      <c r="J48" s="138">
        <f>I48*E48</f>
      </c>
      <c r="K48" s="139" t="s">
        <v>122</v>
      </c>
      <c r="L48" s="140"/>
      <c r="M48" s="140"/>
      <c r="N48" s="141"/>
      <c r="O48" s="142"/>
      <c r="P48" s="131"/>
    </row>
    <row r="49" ht="15" customHeight="1" spans="1:16" s="132" customFormat="1" x14ac:dyDescent="0.25">
      <c r="A49" s="133">
        <v>28</v>
      </c>
      <c r="B49" s="134"/>
      <c r="C49" s="135"/>
      <c r="D49" s="136"/>
      <c r="E49" s="134">
        <f>'Sales Contract'!C47</f>
      </c>
      <c r="F49" s="135"/>
      <c r="G49" s="134">
        <f>Template_PL!F47</f>
      </c>
      <c r="H49" s="137" t="s">
        <v>121</v>
      </c>
      <c r="I49" s="138">
        <f>'Sales Contract'!E47</f>
      </c>
      <c r="J49" s="138">
        <f>I49*E49</f>
      </c>
      <c r="K49" s="139" t="s">
        <v>122</v>
      </c>
      <c r="L49" s="140"/>
      <c r="M49" s="140"/>
      <c r="N49" s="141"/>
      <c r="O49" s="142"/>
      <c r="P49" s="131"/>
    </row>
    <row r="50" ht="15" customHeight="1" spans="1:16" s="132" customFormat="1" x14ac:dyDescent="0.25">
      <c r="A50" s="133">
        <v>29</v>
      </c>
      <c r="B50" s="134"/>
      <c r="C50" s="135"/>
      <c r="D50" s="136"/>
      <c r="E50" s="134">
        <f>'Sales Contract'!C48</f>
      </c>
      <c r="F50" s="135"/>
      <c r="G50" s="134">
        <f>Template_PL!F48</f>
      </c>
      <c r="H50" s="137" t="s">
        <v>121</v>
      </c>
      <c r="I50" s="138">
        <f>'Sales Contract'!E48</f>
      </c>
      <c r="J50" s="138">
        <f>I50*E50</f>
      </c>
      <c r="K50" s="139" t="s">
        <v>122</v>
      </c>
      <c r="L50" s="140"/>
      <c r="M50" s="140"/>
      <c r="N50" s="141"/>
      <c r="O50" s="142"/>
      <c r="P50" s="131"/>
    </row>
    <row r="51" ht="15" customHeight="1" spans="1:16" s="132" customFormat="1" x14ac:dyDescent="0.25">
      <c r="A51" s="133">
        <v>30</v>
      </c>
      <c r="B51" s="134"/>
      <c r="C51" s="135"/>
      <c r="D51" s="136"/>
      <c r="E51" s="134">
        <f>'Sales Contract'!C49</f>
      </c>
      <c r="F51" s="135"/>
      <c r="G51" s="134">
        <f>Template_PL!F49</f>
      </c>
      <c r="H51" s="137" t="s">
        <v>121</v>
      </c>
      <c r="I51" s="138">
        <f>'Sales Contract'!E49</f>
      </c>
      <c r="J51" s="138">
        <f>I51*E51</f>
      </c>
      <c r="K51" s="139" t="s">
        <v>122</v>
      </c>
      <c r="L51" s="140"/>
      <c r="M51" s="140"/>
      <c r="N51" s="141"/>
      <c r="O51" s="142"/>
      <c r="P51" s="131"/>
    </row>
    <row r="52" ht="15" customHeight="1" spans="1:16" s="132" customFormat="1" x14ac:dyDescent="0.25">
      <c r="A52" s="133">
        <v>31</v>
      </c>
      <c r="B52" s="134"/>
      <c r="C52" s="135"/>
      <c r="D52" s="136"/>
      <c r="E52" s="134">
        <f>'Sales Contract'!C50</f>
      </c>
      <c r="F52" s="135"/>
      <c r="G52" s="134">
        <f>Template_PL!F50</f>
      </c>
      <c r="H52" s="137" t="s">
        <v>121</v>
      </c>
      <c r="I52" s="138">
        <f>'Sales Contract'!E50</f>
      </c>
      <c r="J52" s="138">
        <f>I52*E52</f>
      </c>
      <c r="K52" s="139" t="s">
        <v>122</v>
      </c>
      <c r="L52" s="140"/>
      <c r="M52" s="140"/>
      <c r="N52" s="141"/>
      <c r="O52" s="142"/>
      <c r="P52" s="131"/>
    </row>
    <row r="53" ht="15" customHeight="1" spans="1:16" s="132" customFormat="1" x14ac:dyDescent="0.25">
      <c r="A53" s="133">
        <v>32</v>
      </c>
      <c r="B53" s="134"/>
      <c r="C53" s="135"/>
      <c r="D53" s="136"/>
      <c r="E53" s="134">
        <f>'Sales Contract'!C51</f>
      </c>
      <c r="F53" s="135"/>
      <c r="G53" s="134">
        <f>Template_PL!F51</f>
      </c>
      <c r="H53" s="137" t="s">
        <v>121</v>
      </c>
      <c r="I53" s="138">
        <f>'Sales Contract'!E51</f>
      </c>
      <c r="J53" s="138">
        <f>I53*E53</f>
      </c>
      <c r="K53" s="139" t="s">
        <v>122</v>
      </c>
      <c r="L53" s="140"/>
      <c r="M53" s="140"/>
      <c r="N53" s="141"/>
      <c r="O53" s="142"/>
      <c r="P53" s="131"/>
    </row>
    <row r="54" ht="15" customHeight="1" spans="1:16" s="132" customFormat="1" x14ac:dyDescent="0.25">
      <c r="A54" s="133">
        <v>33</v>
      </c>
      <c r="B54" s="134"/>
      <c r="C54" s="135"/>
      <c r="D54" s="136"/>
      <c r="E54" s="134">
        <f>'Sales Contract'!C52</f>
      </c>
      <c r="F54" s="135"/>
      <c r="G54" s="134">
        <f>Template_PL!F52</f>
      </c>
      <c r="H54" s="137" t="s">
        <v>121</v>
      </c>
      <c r="I54" s="138">
        <f>'Sales Contract'!E52</f>
      </c>
      <c r="J54" s="138">
        <f>I54*E54</f>
      </c>
      <c r="K54" s="139" t="s">
        <v>122</v>
      </c>
      <c r="L54" s="140"/>
      <c r="M54" s="140"/>
      <c r="N54" s="141"/>
      <c r="O54" s="142"/>
      <c r="P54" s="131"/>
    </row>
    <row r="55" ht="15" customHeight="1" spans="1:16" s="132" customFormat="1" x14ac:dyDescent="0.25">
      <c r="A55" s="133">
        <v>34</v>
      </c>
      <c r="B55" s="134"/>
      <c r="C55" s="135"/>
      <c r="D55" s="136"/>
      <c r="E55" s="134">
        <f>'Sales Contract'!C53</f>
      </c>
      <c r="F55" s="135"/>
      <c r="G55" s="134">
        <f>Template_PL!F53</f>
      </c>
      <c r="H55" s="137" t="s">
        <v>121</v>
      </c>
      <c r="I55" s="138">
        <f>'Sales Contract'!E53</f>
      </c>
      <c r="J55" s="138">
        <f>I55*E55</f>
      </c>
      <c r="K55" s="139" t="s">
        <v>122</v>
      </c>
      <c r="L55" s="140"/>
      <c r="M55" s="140"/>
      <c r="N55" s="141"/>
      <c r="O55" s="142"/>
      <c r="P55" s="131"/>
    </row>
    <row r="56" ht="15" customHeight="1" spans="1:16" s="132" customFormat="1" x14ac:dyDescent="0.25">
      <c r="A56" s="133">
        <v>35</v>
      </c>
      <c r="B56" s="134"/>
      <c r="C56" s="135"/>
      <c r="D56" s="136"/>
      <c r="E56" s="134">
        <f>'Sales Contract'!C54</f>
      </c>
      <c r="F56" s="135"/>
      <c r="G56" s="134">
        <f>Template_PL!F54</f>
      </c>
      <c r="H56" s="137" t="s">
        <v>121</v>
      </c>
      <c r="I56" s="138">
        <f>'Sales Contract'!E54</f>
      </c>
      <c r="J56" s="138">
        <f>I56*E56</f>
      </c>
      <c r="K56" s="139" t="s">
        <v>122</v>
      </c>
      <c r="L56" s="140"/>
      <c r="M56" s="140"/>
      <c r="N56" s="141"/>
      <c r="O56" s="142"/>
      <c r="P56" s="131"/>
    </row>
    <row r="57" ht="15" customHeight="1" spans="1:16" s="132" customFormat="1" x14ac:dyDescent="0.25">
      <c r="A57" s="133">
        <v>36</v>
      </c>
      <c r="B57" s="134"/>
      <c r="C57" s="135"/>
      <c r="D57" s="136"/>
      <c r="E57" s="134">
        <f>'Sales Contract'!C55</f>
      </c>
      <c r="F57" s="135"/>
      <c r="G57" s="134">
        <f>Template_PL!F55</f>
      </c>
      <c r="H57" s="137" t="s">
        <v>121</v>
      </c>
      <c r="I57" s="138">
        <f>'Sales Contract'!E55</f>
      </c>
      <c r="J57" s="138">
        <f>I57*E57</f>
      </c>
      <c r="K57" s="139" t="s">
        <v>122</v>
      </c>
      <c r="L57" s="140"/>
      <c r="M57" s="140"/>
      <c r="N57" s="141"/>
      <c r="O57" s="142"/>
      <c r="P57" s="131"/>
    </row>
    <row r="58" ht="15" customHeight="1" spans="1:16" s="132" customFormat="1" x14ac:dyDescent="0.25">
      <c r="A58" s="133">
        <v>37</v>
      </c>
      <c r="B58" s="134"/>
      <c r="C58" s="135"/>
      <c r="D58" s="136"/>
      <c r="E58" s="134">
        <f>'Sales Contract'!C56</f>
      </c>
      <c r="F58" s="135"/>
      <c r="G58" s="134">
        <f>Template_PL!F56</f>
      </c>
      <c r="H58" s="137" t="s">
        <v>121</v>
      </c>
      <c r="I58" s="138">
        <f>'Sales Contract'!E56</f>
      </c>
      <c r="J58" s="138">
        <f>I58*E58</f>
      </c>
      <c r="K58" s="139" t="s">
        <v>122</v>
      </c>
      <c r="L58" s="140"/>
      <c r="M58" s="140"/>
      <c r="N58" s="141"/>
      <c r="O58" s="142"/>
      <c r="P58" s="131"/>
    </row>
    <row r="59" ht="15" customHeight="1" spans="1:16" s="132" customFormat="1" x14ac:dyDescent="0.25">
      <c r="A59" s="133">
        <v>38</v>
      </c>
      <c r="B59" s="134"/>
      <c r="C59" s="135"/>
      <c r="D59" s="136"/>
      <c r="E59" s="134">
        <f>'Sales Contract'!C57</f>
      </c>
      <c r="F59" s="135"/>
      <c r="G59" s="134">
        <f>Template_PL!F57</f>
      </c>
      <c r="H59" s="137" t="s">
        <v>121</v>
      </c>
      <c r="I59" s="138">
        <f>'Sales Contract'!E57</f>
      </c>
      <c r="J59" s="138">
        <f>I59*E59</f>
      </c>
      <c r="K59" s="139" t="s">
        <v>122</v>
      </c>
      <c r="L59" s="140"/>
      <c r="M59" s="140"/>
      <c r="N59" s="141"/>
      <c r="O59" s="142"/>
      <c r="P59" s="131"/>
    </row>
    <row r="60" ht="15" customHeight="1" spans="1:16" s="132" customFormat="1" x14ac:dyDescent="0.25">
      <c r="A60" s="133">
        <v>39</v>
      </c>
      <c r="B60" s="134"/>
      <c r="C60" s="135"/>
      <c r="D60" s="136"/>
      <c r="E60" s="134">
        <f>'Sales Contract'!C58</f>
      </c>
      <c r="F60" s="135"/>
      <c r="G60" s="134">
        <f>Template_PL!F58</f>
      </c>
      <c r="H60" s="137" t="s">
        <v>121</v>
      </c>
      <c r="I60" s="138">
        <f>'Sales Contract'!E58</f>
      </c>
      <c r="J60" s="138">
        <f>I60*E60</f>
      </c>
      <c r="K60" s="139" t="s">
        <v>122</v>
      </c>
      <c r="L60" s="140"/>
      <c r="M60" s="140"/>
      <c r="N60" s="141"/>
      <c r="O60" s="142"/>
      <c r="P60" s="131"/>
    </row>
    <row r="61" ht="15" customHeight="1" spans="1:16" s="132" customFormat="1" x14ac:dyDescent="0.25">
      <c r="A61" s="133">
        <v>40</v>
      </c>
      <c r="B61" s="134"/>
      <c r="C61" s="135"/>
      <c r="D61" s="136"/>
      <c r="E61" s="134">
        <f>'Sales Contract'!C59</f>
      </c>
      <c r="F61" s="135"/>
      <c r="G61" s="134">
        <f>Template_PL!F59</f>
      </c>
      <c r="H61" s="137" t="s">
        <v>121</v>
      </c>
      <c r="I61" s="138">
        <f>'Sales Contract'!E59</f>
      </c>
      <c r="J61" s="138">
        <f>I61*E61</f>
      </c>
      <c r="K61" s="139" t="s">
        <v>122</v>
      </c>
      <c r="L61" s="140"/>
      <c r="M61" s="140"/>
      <c r="N61" s="141"/>
      <c r="O61" s="142"/>
      <c r="P61" s="131"/>
    </row>
    <row r="62" ht="15" customHeight="1" spans="1:16" s="132" customFormat="1" x14ac:dyDescent="0.25">
      <c r="A62" s="133">
        <v>41</v>
      </c>
      <c r="B62" s="134"/>
      <c r="C62" s="135"/>
      <c r="D62" s="136"/>
      <c r="E62" s="134">
        <f>'Sales Contract'!C60</f>
      </c>
      <c r="F62" s="135"/>
      <c r="G62" s="134">
        <f>Template_PL!F60</f>
      </c>
      <c r="H62" s="137" t="s">
        <v>121</v>
      </c>
      <c r="I62" s="138">
        <f>'Sales Contract'!E60</f>
      </c>
      <c r="J62" s="138">
        <f>I62*E62</f>
      </c>
      <c r="K62" s="139" t="s">
        <v>122</v>
      </c>
      <c r="L62" s="140"/>
      <c r="M62" s="140"/>
      <c r="N62" s="141"/>
      <c r="O62" s="142"/>
      <c r="P62" s="131"/>
    </row>
    <row r="63" ht="15" customHeight="1" spans="1:16" s="132" customFormat="1" x14ac:dyDescent="0.25">
      <c r="A63" s="133">
        <v>42</v>
      </c>
      <c r="B63" s="134"/>
      <c r="C63" s="135"/>
      <c r="D63" s="136"/>
      <c r="E63" s="134">
        <f>'Sales Contract'!C61</f>
      </c>
      <c r="F63" s="135"/>
      <c r="G63" s="134">
        <f>Template_PL!F61</f>
      </c>
      <c r="H63" s="137" t="s">
        <v>121</v>
      </c>
      <c r="I63" s="138">
        <f>'Sales Contract'!E61</f>
      </c>
      <c r="J63" s="138">
        <f>I63*E63</f>
      </c>
      <c r="K63" s="139" t="s">
        <v>122</v>
      </c>
      <c r="L63" s="140"/>
      <c r="M63" s="140"/>
      <c r="N63" s="141"/>
      <c r="O63" s="142"/>
      <c r="P63" s="131"/>
    </row>
    <row r="64" ht="15" customHeight="1" spans="1:16" s="132" customFormat="1" x14ac:dyDescent="0.25">
      <c r="A64" s="133">
        <v>43</v>
      </c>
      <c r="B64" s="134"/>
      <c r="C64" s="135"/>
      <c r="D64" s="136"/>
      <c r="E64" s="134">
        <f>'Sales Contract'!C62</f>
      </c>
      <c r="F64" s="135"/>
      <c r="G64" s="134">
        <f>Template_PL!F62</f>
      </c>
      <c r="H64" s="137" t="s">
        <v>121</v>
      </c>
      <c r="I64" s="138">
        <f>'Sales Contract'!E62</f>
      </c>
      <c r="J64" s="138">
        <f>I64*E64</f>
      </c>
      <c r="K64" s="139" t="s">
        <v>122</v>
      </c>
      <c r="L64" s="140"/>
      <c r="M64" s="140"/>
      <c r="N64" s="141"/>
      <c r="O64" s="142"/>
      <c r="P64" s="131"/>
    </row>
    <row r="65" ht="15" customHeight="1" spans="1:16" s="132" customFormat="1" x14ac:dyDescent="0.25">
      <c r="A65" s="133">
        <v>44</v>
      </c>
      <c r="B65" s="134"/>
      <c r="C65" s="135"/>
      <c r="D65" s="136"/>
      <c r="E65" s="134">
        <f>'Sales Contract'!C63</f>
      </c>
      <c r="F65" s="135"/>
      <c r="G65" s="134">
        <f>Template_PL!F63</f>
      </c>
      <c r="H65" s="137" t="s">
        <v>121</v>
      </c>
      <c r="I65" s="138">
        <f>'Sales Contract'!E63</f>
      </c>
      <c r="J65" s="138">
        <f>I65*E65</f>
      </c>
      <c r="K65" s="139" t="s">
        <v>122</v>
      </c>
      <c r="L65" s="140"/>
      <c r="M65" s="140"/>
      <c r="N65" s="141"/>
      <c r="O65" s="142"/>
      <c r="P65" s="131"/>
    </row>
    <row r="66" ht="15" customHeight="1" spans="1:16" s="132" customFormat="1" x14ac:dyDescent="0.25">
      <c r="A66" s="133">
        <v>45</v>
      </c>
      <c r="B66" s="134"/>
      <c r="C66" s="135"/>
      <c r="D66" s="136"/>
      <c r="E66" s="134">
        <f>'Sales Contract'!C64</f>
      </c>
      <c r="F66" s="135"/>
      <c r="G66" s="134">
        <f>Template_PL!F64</f>
      </c>
      <c r="H66" s="137" t="s">
        <v>121</v>
      </c>
      <c r="I66" s="138">
        <f>'Sales Contract'!E64</f>
      </c>
      <c r="J66" s="138">
        <f>I66*E66</f>
      </c>
      <c r="K66" s="139" t="s">
        <v>122</v>
      </c>
      <c r="L66" s="140"/>
      <c r="M66" s="140"/>
      <c r="N66" s="141"/>
      <c r="O66" s="142"/>
      <c r="P66" s="131"/>
    </row>
    <row r="67" ht="15" customHeight="1" spans="1:16" s="132" customFormat="1" x14ac:dyDescent="0.25">
      <c r="A67" s="133">
        <v>46</v>
      </c>
      <c r="B67" s="134"/>
      <c r="C67" s="135"/>
      <c r="D67" s="136"/>
      <c r="E67" s="134">
        <f>'Sales Contract'!C65</f>
      </c>
      <c r="F67" s="135"/>
      <c r="G67" s="134">
        <f>Template_PL!F65</f>
      </c>
      <c r="H67" s="137" t="s">
        <v>121</v>
      </c>
      <c r="I67" s="138">
        <f>'Sales Contract'!E65</f>
      </c>
      <c r="J67" s="138">
        <f>I67*E67</f>
      </c>
      <c r="K67" s="139" t="s">
        <v>122</v>
      </c>
      <c r="L67" s="140"/>
      <c r="M67" s="140"/>
      <c r="N67" s="141"/>
      <c r="O67" s="142"/>
      <c r="P67" s="131"/>
    </row>
    <row r="68" ht="15" customHeight="1" spans="1:16" s="132" customFormat="1" x14ac:dyDescent="0.25">
      <c r="A68" s="133">
        <v>47</v>
      </c>
      <c r="B68" s="134"/>
      <c r="C68" s="135"/>
      <c r="D68" s="136"/>
      <c r="E68" s="134">
        <f>'Sales Contract'!C66</f>
      </c>
      <c r="F68" s="135"/>
      <c r="G68" s="134">
        <f>Template_PL!F66</f>
      </c>
      <c r="H68" s="137" t="s">
        <v>121</v>
      </c>
      <c r="I68" s="138">
        <f>'Sales Contract'!E66</f>
      </c>
      <c r="J68" s="138">
        <f>I68*E68</f>
      </c>
      <c r="K68" s="139" t="s">
        <v>122</v>
      </c>
      <c r="L68" s="140"/>
      <c r="M68" s="140"/>
      <c r="N68" s="141"/>
      <c r="O68" s="142"/>
      <c r="P68" s="131"/>
    </row>
    <row r="69" ht="15" customHeight="1" spans="1:16" s="132" customFormat="1" x14ac:dyDescent="0.25">
      <c r="A69" s="133">
        <v>48</v>
      </c>
      <c r="B69" s="134"/>
      <c r="C69" s="135"/>
      <c r="D69" s="136"/>
      <c r="E69" s="134">
        <f>'Sales Contract'!C67</f>
      </c>
      <c r="F69" s="135"/>
      <c r="G69" s="134">
        <f>Template_PL!F67</f>
      </c>
      <c r="H69" s="137" t="s">
        <v>121</v>
      </c>
      <c r="I69" s="138">
        <f>'Sales Contract'!E67</f>
      </c>
      <c r="J69" s="138">
        <f>I69*E69</f>
      </c>
      <c r="K69" s="139" t="s">
        <v>122</v>
      </c>
      <c r="L69" s="140"/>
      <c r="M69" s="140"/>
      <c r="N69" s="141"/>
      <c r="O69" s="142"/>
      <c r="P69" s="131"/>
    </row>
    <row r="70" ht="15" customHeight="1" spans="1:16" s="132" customFormat="1" x14ac:dyDescent="0.25">
      <c r="A70" s="133">
        <v>49</v>
      </c>
      <c r="B70" s="134"/>
      <c r="C70" s="135"/>
      <c r="D70" s="136"/>
      <c r="E70" s="134">
        <f>'Sales Contract'!C68</f>
      </c>
      <c r="F70" s="135"/>
      <c r="G70" s="134">
        <f>Template_PL!F68</f>
      </c>
      <c r="H70" s="137" t="s">
        <v>121</v>
      </c>
      <c r="I70" s="138">
        <f>'Sales Contract'!E68</f>
      </c>
      <c r="J70" s="138">
        <f>I70*E70</f>
      </c>
      <c r="K70" s="139" t="s">
        <v>122</v>
      </c>
      <c r="L70" s="140"/>
      <c r="M70" s="140"/>
      <c r="N70" s="141"/>
      <c r="O70" s="142"/>
      <c r="P70" s="131"/>
    </row>
    <row r="71" ht="15" customHeight="1" spans="1:16" s="132" customFormat="1" x14ac:dyDescent="0.25">
      <c r="A71" s="133">
        <v>50</v>
      </c>
      <c r="B71" s="134"/>
      <c r="C71" s="135"/>
      <c r="D71" s="136"/>
      <c r="E71" s="134">
        <f>'Sales Contract'!C69</f>
      </c>
      <c r="F71" s="135"/>
      <c r="G71" s="134">
        <f>Template_PL!F69</f>
      </c>
      <c r="H71" s="137" t="s">
        <v>121</v>
      </c>
      <c r="I71" s="138">
        <f>'Sales Contract'!E69</f>
      </c>
      <c r="J71" s="138">
        <f>I71*E71</f>
      </c>
      <c r="K71" s="139" t="s">
        <v>122</v>
      </c>
      <c r="L71" s="140"/>
      <c r="M71" s="140"/>
      <c r="N71" s="141"/>
      <c r="O71" s="142"/>
      <c r="P71" s="131"/>
    </row>
    <row r="72" ht="15" customHeight="1" spans="1:16" s="132" customFormat="1" x14ac:dyDescent="0.25">
      <c r="A72" s="133">
        <v>51</v>
      </c>
      <c r="B72" s="134"/>
      <c r="C72" s="135"/>
      <c r="D72" s="136"/>
      <c r="E72" s="134">
        <f>'Sales Contract'!C70</f>
      </c>
      <c r="F72" s="135"/>
      <c r="G72" s="134">
        <f>Template_PL!F70</f>
      </c>
      <c r="H72" s="137" t="s">
        <v>121</v>
      </c>
      <c r="I72" s="138">
        <f>'Sales Contract'!E70</f>
      </c>
      <c r="J72" s="138">
        <f>I72*E72</f>
      </c>
      <c r="K72" s="139" t="s">
        <v>122</v>
      </c>
      <c r="L72" s="140"/>
      <c r="M72" s="140"/>
      <c r="N72" s="141"/>
      <c r="O72" s="142"/>
      <c r="P72" s="131"/>
    </row>
    <row r="73" ht="15" customHeight="1" spans="1:16" s="132" customFormat="1" x14ac:dyDescent="0.25">
      <c r="A73" s="133">
        <v>52</v>
      </c>
      <c r="B73" s="134"/>
      <c r="C73" s="135"/>
      <c r="D73" s="136"/>
      <c r="E73" s="134">
        <f>'Sales Contract'!C71</f>
      </c>
      <c r="F73" s="135"/>
      <c r="G73" s="134">
        <f>Template_PL!F71</f>
      </c>
      <c r="H73" s="137" t="s">
        <v>121</v>
      </c>
      <c r="I73" s="138">
        <f>'Sales Contract'!E71</f>
      </c>
      <c r="J73" s="138">
        <f>I73*E73</f>
      </c>
      <c r="K73" s="139" t="s">
        <v>122</v>
      </c>
      <c r="L73" s="140"/>
      <c r="M73" s="140"/>
      <c r="N73" s="141"/>
      <c r="O73" s="142"/>
      <c r="P73" s="131"/>
    </row>
    <row r="74" ht="15" customHeight="1" spans="1:16" s="132" customFormat="1" x14ac:dyDescent="0.25">
      <c r="A74" s="133">
        <v>53</v>
      </c>
      <c r="B74" s="134"/>
      <c r="C74" s="135"/>
      <c r="D74" s="136"/>
      <c r="E74" s="134">
        <f>'Sales Contract'!C72</f>
      </c>
      <c r="F74" s="135"/>
      <c r="G74" s="134">
        <f>Template_PL!F72</f>
      </c>
      <c r="H74" s="137" t="s">
        <v>121</v>
      </c>
      <c r="I74" s="138">
        <f>'Sales Contract'!E72</f>
      </c>
      <c r="J74" s="138">
        <f>I74*E74</f>
      </c>
      <c r="K74" s="139" t="s">
        <v>122</v>
      </c>
      <c r="L74" s="140"/>
      <c r="M74" s="140"/>
      <c r="N74" s="141"/>
      <c r="O74" s="142"/>
      <c r="P74" s="131"/>
    </row>
    <row r="75" ht="15" customHeight="1" spans="1:16" s="132" customFormat="1" x14ac:dyDescent="0.25">
      <c r="A75" s="133">
        <v>54</v>
      </c>
      <c r="B75" s="134"/>
      <c r="C75" s="135"/>
      <c r="D75" s="136"/>
      <c r="E75" s="134">
        <f>'Sales Contract'!C73</f>
      </c>
      <c r="F75" s="135"/>
      <c r="G75" s="134">
        <f>Template_PL!F73</f>
      </c>
      <c r="H75" s="137" t="s">
        <v>121</v>
      </c>
      <c r="I75" s="138">
        <f>'Sales Contract'!E73</f>
      </c>
      <c r="J75" s="138">
        <f>I75*E75</f>
      </c>
      <c r="K75" s="139" t="s">
        <v>122</v>
      </c>
      <c r="L75" s="140"/>
      <c r="M75" s="140"/>
      <c r="N75" s="141"/>
      <c r="O75" s="142"/>
      <c r="P75" s="131"/>
    </row>
    <row r="76" ht="15" customHeight="1" spans="1:16" s="132" customFormat="1" x14ac:dyDescent="0.25">
      <c r="A76" s="133">
        <v>55</v>
      </c>
      <c r="B76" s="134"/>
      <c r="C76" s="135"/>
      <c r="D76" s="136"/>
      <c r="E76" s="134">
        <f>'Sales Contract'!C74</f>
      </c>
      <c r="F76" s="135"/>
      <c r="G76" s="134">
        <f>Template_PL!F74</f>
      </c>
      <c r="H76" s="137" t="s">
        <v>121</v>
      </c>
      <c r="I76" s="138">
        <f>'Sales Contract'!E74</f>
      </c>
      <c r="J76" s="138">
        <f>I76*E76</f>
      </c>
      <c r="K76" s="139" t="s">
        <v>122</v>
      </c>
      <c r="L76" s="140"/>
      <c r="M76" s="140"/>
      <c r="N76" s="141"/>
      <c r="O76" s="142"/>
      <c r="P76" s="131"/>
    </row>
    <row r="77" ht="15" customHeight="1" spans="1:16" s="132" customFormat="1" x14ac:dyDescent="0.25">
      <c r="A77" s="133">
        <v>56</v>
      </c>
      <c r="B77" s="134"/>
      <c r="C77" s="135"/>
      <c r="D77" s="136"/>
      <c r="E77" s="134">
        <f>'Sales Contract'!C75</f>
      </c>
      <c r="F77" s="135"/>
      <c r="G77" s="134">
        <f>Template_PL!F75</f>
      </c>
      <c r="H77" s="137" t="s">
        <v>121</v>
      </c>
      <c r="I77" s="138">
        <f>'Sales Contract'!E75</f>
      </c>
      <c r="J77" s="138">
        <f>I77*E77</f>
      </c>
      <c r="K77" s="139" t="s">
        <v>122</v>
      </c>
      <c r="L77" s="140"/>
      <c r="M77" s="140"/>
      <c r="N77" s="141"/>
      <c r="O77" s="142"/>
      <c r="P77" s="131"/>
    </row>
    <row r="78" ht="15" customHeight="1" spans="1:16" s="132" customFormat="1" x14ac:dyDescent="0.25">
      <c r="A78" s="133">
        <v>57</v>
      </c>
      <c r="B78" s="134"/>
      <c r="C78" s="135"/>
      <c r="D78" s="136"/>
      <c r="E78" s="134">
        <f>'Sales Contract'!C76</f>
      </c>
      <c r="F78" s="135"/>
      <c r="G78" s="134">
        <f>Template_PL!F76</f>
      </c>
      <c r="H78" s="137" t="s">
        <v>121</v>
      </c>
      <c r="I78" s="138">
        <f>'Sales Contract'!E76</f>
      </c>
      <c r="J78" s="138">
        <f>I78*E78</f>
      </c>
      <c r="K78" s="139" t="s">
        <v>122</v>
      </c>
      <c r="L78" s="140"/>
      <c r="M78" s="140"/>
      <c r="N78" s="141"/>
      <c r="O78" s="142"/>
      <c r="P78" s="131"/>
    </row>
    <row r="79" ht="15" customHeight="1" spans="1:16" s="132" customFormat="1" x14ac:dyDescent="0.25">
      <c r="A79" s="133">
        <v>58</v>
      </c>
      <c r="B79" s="134"/>
      <c r="C79" s="135"/>
      <c r="D79" s="136"/>
      <c r="E79" s="134">
        <f>'Sales Contract'!C77</f>
      </c>
      <c r="F79" s="135"/>
      <c r="G79" s="134">
        <f>Template_PL!F77</f>
      </c>
      <c r="H79" s="137" t="s">
        <v>121</v>
      </c>
      <c r="I79" s="138">
        <f>'Sales Contract'!E77</f>
      </c>
      <c r="J79" s="138">
        <f>I79*E79</f>
      </c>
      <c r="K79" s="139" t="s">
        <v>122</v>
      </c>
      <c r="L79" s="140"/>
      <c r="M79" s="140"/>
      <c r="N79" s="141"/>
      <c r="O79" s="142"/>
      <c r="P79" s="131"/>
    </row>
    <row r="80" ht="15" customHeight="1" spans="1:16" s="132" customFormat="1" x14ac:dyDescent="0.25">
      <c r="A80" s="133">
        <v>59</v>
      </c>
      <c r="B80" s="134"/>
      <c r="C80" s="135"/>
      <c r="D80" s="136"/>
      <c r="E80" s="134">
        <f>'Sales Contract'!C78</f>
      </c>
      <c r="F80" s="135"/>
      <c r="G80" s="134">
        <f>Template_PL!F78</f>
      </c>
      <c r="H80" s="137" t="s">
        <v>121</v>
      </c>
      <c r="I80" s="138">
        <f>'Sales Contract'!E78</f>
      </c>
      <c r="J80" s="138">
        <f>I80*E80</f>
      </c>
      <c r="K80" s="139" t="s">
        <v>122</v>
      </c>
      <c r="L80" s="140"/>
      <c r="M80" s="140"/>
      <c r="N80" s="141"/>
      <c r="O80" s="142"/>
      <c r="P80" s="131"/>
    </row>
    <row r="81" ht="15" customHeight="1" spans="1:16" s="132" customFormat="1" x14ac:dyDescent="0.25">
      <c r="A81" s="133">
        <v>60</v>
      </c>
      <c r="B81" s="134"/>
      <c r="C81" s="135"/>
      <c r="D81" s="136"/>
      <c r="E81" s="134">
        <f>'Sales Contract'!C79</f>
      </c>
      <c r="F81" s="135"/>
      <c r="G81" s="134">
        <f>Template_PL!F79</f>
      </c>
      <c r="H81" s="137" t="s">
        <v>121</v>
      </c>
      <c r="I81" s="138">
        <f>'Sales Contract'!E79</f>
      </c>
      <c r="J81" s="138">
        <f>I81*E81</f>
      </c>
      <c r="K81" s="139" t="s">
        <v>122</v>
      </c>
      <c r="L81" s="140"/>
      <c r="M81" s="140"/>
      <c r="N81" s="141"/>
      <c r="O81" s="142"/>
      <c r="P81" s="131"/>
    </row>
    <row r="82" ht="15" customHeight="1" spans="1:16" s="132" customFormat="1" x14ac:dyDescent="0.25">
      <c r="A82" s="143"/>
      <c r="B82" s="144"/>
      <c r="C82" s="145"/>
      <c r="D82" s="145"/>
      <c r="E82" s="143"/>
      <c r="F82" s="143"/>
      <c r="G82" s="143"/>
      <c r="H82" s="137"/>
      <c r="I82" s="146"/>
      <c r="J82" s="146"/>
      <c r="K82" s="139"/>
      <c r="L82" s="147"/>
      <c r="M82" s="147"/>
      <c r="N82" s="148"/>
      <c r="O82" s="149"/>
      <c r="P82" s="131"/>
    </row>
    <row r="83" ht="15" customHeight="1" spans="1:16" s="132" customFormat="1" x14ac:dyDescent="0.25">
      <c r="A83" s="143"/>
      <c r="B83" s="144"/>
      <c r="C83" s="145"/>
      <c r="D83" s="145"/>
      <c r="E83" s="143"/>
      <c r="F83" s="143"/>
      <c r="G83" s="143"/>
      <c r="H83" s="137"/>
      <c r="I83" s="146"/>
      <c r="J83" s="146"/>
      <c r="K83" s="139"/>
      <c r="L83" s="147"/>
      <c r="M83" s="147"/>
      <c r="N83" s="148"/>
      <c r="O83" s="149"/>
      <c r="P83" s="131"/>
    </row>
    <row r="84" ht="15" customHeight="1" spans="1:16" s="132" customFormat="1" x14ac:dyDescent="0.25">
      <c r="A84" s="143"/>
      <c r="B84" s="144"/>
      <c r="C84" s="145"/>
      <c r="D84" s="145"/>
      <c r="E84" s="143"/>
      <c r="F84" s="143"/>
      <c r="G84" s="143"/>
      <c r="H84" s="137"/>
      <c r="I84" s="146"/>
      <c r="J84" s="146"/>
      <c r="K84" s="139"/>
      <c r="L84" s="147"/>
      <c r="M84" s="147"/>
      <c r="N84" s="148"/>
      <c r="O84" s="149"/>
      <c r="P84" s="131"/>
    </row>
    <row r="85" ht="15" customHeight="1" spans="1:16" s="132" customFormat="1" x14ac:dyDescent="0.25">
      <c r="A85" s="143"/>
      <c r="B85" s="144"/>
      <c r="C85" s="145"/>
      <c r="D85" s="145"/>
      <c r="E85" s="143"/>
      <c r="F85" s="143"/>
      <c r="G85" s="143"/>
      <c r="H85" s="137"/>
      <c r="I85" s="146"/>
      <c r="J85" s="146"/>
      <c r="K85" s="139"/>
      <c r="L85" s="147"/>
      <c r="M85" s="147"/>
      <c r="N85" s="148"/>
      <c r="O85" s="149"/>
      <c r="P85" s="131"/>
    </row>
    <row r="86" ht="15" customHeight="1" spans="1:16" s="132" customFormat="1" x14ac:dyDescent="0.25">
      <c r="A86" s="143"/>
      <c r="B86" s="144"/>
      <c r="C86" s="145"/>
      <c r="D86" s="145"/>
      <c r="E86" s="143"/>
      <c r="F86" s="143"/>
      <c r="G86" s="143"/>
      <c r="H86" s="137"/>
      <c r="I86" s="146"/>
      <c r="J86" s="146"/>
      <c r="K86" s="139"/>
      <c r="L86" s="147"/>
      <c r="M86" s="147"/>
      <c r="N86" s="148"/>
      <c r="O86" s="149"/>
      <c r="P86" s="131"/>
    </row>
    <row r="87" ht="15" customHeight="1" spans="1:16" s="132" customFormat="1" x14ac:dyDescent="0.25">
      <c r="A87" s="143"/>
      <c r="B87" s="144"/>
      <c r="C87" s="145"/>
      <c r="D87" s="145"/>
      <c r="E87" s="143"/>
      <c r="F87" s="143"/>
      <c r="G87" s="143"/>
      <c r="H87" s="137"/>
      <c r="I87" s="146"/>
      <c r="J87" s="146"/>
      <c r="K87" s="139"/>
      <c r="L87" s="147"/>
      <c r="M87" s="147"/>
      <c r="N87" s="148"/>
      <c r="O87" s="149"/>
      <c r="P87" s="131"/>
    </row>
    <row r="88" ht="15" customHeight="1" spans="1:16" s="132" customFormat="1" x14ac:dyDescent="0.25">
      <c r="A88" s="150"/>
      <c r="B88" s="151"/>
      <c r="C88" s="152"/>
      <c r="D88" s="152"/>
      <c r="E88" s="153"/>
      <c r="F88" s="153"/>
      <c r="G88" s="153"/>
      <c r="H88" s="154"/>
      <c r="I88" s="155"/>
      <c r="J88" s="155"/>
      <c r="K88" s="156"/>
      <c r="L88" s="157"/>
      <c r="M88" s="157"/>
      <c r="N88" s="158"/>
      <c r="O88" s="159"/>
      <c r="P88" s="131"/>
    </row>
    <row r="89" ht="15" customHeight="1" spans="1:16" s="132" customFormat="1" x14ac:dyDescent="0.25">
      <c r="A89" s="160"/>
      <c r="B89" s="161"/>
      <c r="C89" s="162"/>
      <c r="D89" s="162"/>
      <c r="E89" s="163"/>
      <c r="F89" s="163"/>
      <c r="G89" s="164">
        <f>SUM(G22:G81)</f>
      </c>
      <c r="H89" s="165"/>
      <c r="I89" s="164"/>
      <c r="J89" s="164">
        <f>SUM(J22:J81)</f>
      </c>
      <c r="K89" s="166"/>
      <c r="L89" s="167"/>
      <c r="M89" s="167"/>
      <c r="N89" s="168"/>
      <c r="O89" s="169"/>
      <c r="P89" s="131"/>
    </row>
    <row r="90" ht="30" customHeight="1" spans="1:15" x14ac:dyDescent="0.25">
      <c r="A90" s="170" t="s">
        <v>123</v>
      </c>
      <c r="B90" s="171"/>
      <c r="C90" s="172" t="s">
        <v>124</v>
      </c>
      <c r="D90" s="173" t="s">
        <v>125</v>
      </c>
      <c r="E90" s="173"/>
      <c r="F90" s="173"/>
      <c r="G90" s="174"/>
      <c r="H90" s="174"/>
      <c r="I90" s="174"/>
      <c r="J90" s="174"/>
      <c r="K90" s="175"/>
      <c r="L90" s="176" t="s">
        <v>126</v>
      </c>
      <c r="M90" s="176"/>
      <c r="N90" s="176"/>
      <c r="O90" s="177"/>
    </row>
    <row r="91" ht="13.7" customHeight="1" spans="1:15" x14ac:dyDescent="0.25">
      <c r="A91" s="100"/>
      <c r="B91" s="101"/>
      <c r="C91" s="127"/>
      <c r="D91" s="178"/>
      <c r="E91" s="178"/>
      <c r="F91" s="178"/>
      <c r="G91" s="101"/>
      <c r="H91" s="101"/>
      <c r="I91" s="101"/>
      <c r="J91" s="101"/>
      <c r="K91" s="104"/>
      <c r="L91" s="101"/>
      <c r="M91" s="101"/>
      <c r="N91" s="101"/>
      <c r="O91" s="105"/>
    </row>
    <row r="92" ht="18.75" customHeight="1" spans="1:15" x14ac:dyDescent="0.25">
      <c r="A92" s="100" t="s">
        <v>127</v>
      </c>
      <c r="B92" s="101"/>
      <c r="C92" s="127"/>
      <c r="D92" s="101" t="s">
        <v>128</v>
      </c>
      <c r="E92" s="101"/>
      <c r="F92" s="101"/>
      <c r="G92" s="101"/>
      <c r="H92" s="101"/>
      <c r="I92" s="101"/>
      <c r="J92" s="101"/>
      <c r="K92" s="104"/>
      <c r="L92" s="101"/>
      <c r="M92" s="101"/>
      <c r="N92" s="101"/>
      <c r="O92" s="105"/>
    </row>
    <row r="93" ht="93" customHeight="1" x14ac:dyDescent="0.25"/>
    <row r="94" ht="21" customHeight="1" spans="1:16" s="179" customFormat="1" x14ac:dyDescent="0.25">
      <c r="A94" s="180"/>
      <c r="B94" s="181"/>
      <c r="C94" s="182" t="s">
        <v>129</v>
      </c>
      <c r="D94" s="183" t="s">
        <v>130</v>
      </c>
      <c r="E94" s="183"/>
      <c r="F94" s="183"/>
      <c r="G94" s="183"/>
      <c r="H94" s="183"/>
      <c r="I94" s="183"/>
      <c r="J94" s="183"/>
      <c r="K94" s="183"/>
      <c r="L94" s="183"/>
      <c r="M94" s="183"/>
      <c r="N94" s="183"/>
      <c r="O94" s="183"/>
      <c r="P94" s="184"/>
    </row>
    <row r="95" ht="100" customHeight="1" spans="1:16" s="179" customFormat="1" x14ac:dyDescent="0.25">
      <c r="A95" s="180">
        <v>1</v>
      </c>
      <c r="B95" s="185"/>
      <c r="C95" s="186"/>
      <c r="D95" s="187"/>
      <c r="E95" s="187"/>
      <c r="F95" s="187"/>
      <c r="G95" s="187"/>
      <c r="H95" s="187"/>
      <c r="I95" s="187"/>
      <c r="J95" s="187"/>
      <c r="K95" s="187"/>
      <c r="L95" s="187"/>
      <c r="M95" s="187"/>
      <c r="N95" s="187"/>
      <c r="O95" s="187"/>
      <c r="P95" s="184"/>
    </row>
    <row r="96" ht="100" customHeight="1" spans="1:16" s="179" customFormat="1" x14ac:dyDescent="0.25">
      <c r="A96" s="180">
        <v>2</v>
      </c>
      <c r="B96" s="185"/>
      <c r="C96" s="186"/>
      <c r="D96" s="187"/>
      <c r="E96" s="187"/>
      <c r="F96" s="187"/>
      <c r="G96" s="187"/>
      <c r="H96" s="187"/>
      <c r="I96" s="187"/>
      <c r="J96" s="187"/>
      <c r="K96" s="187"/>
      <c r="L96" s="187"/>
      <c r="M96" s="187"/>
      <c r="N96" s="187"/>
      <c r="O96" s="187"/>
      <c r="P96" s="184"/>
    </row>
    <row r="97" ht="100" customHeight="1" spans="1:16" s="179" customFormat="1" x14ac:dyDescent="0.25">
      <c r="A97" s="180">
        <v>3</v>
      </c>
      <c r="B97" s="185"/>
      <c r="C97" s="186"/>
      <c r="D97" s="187"/>
      <c r="E97" s="187"/>
      <c r="F97" s="187"/>
      <c r="G97" s="187"/>
      <c r="H97" s="187"/>
      <c r="I97" s="187"/>
      <c r="J97" s="187"/>
      <c r="K97" s="187"/>
      <c r="L97" s="187"/>
      <c r="M97" s="187"/>
      <c r="N97" s="187"/>
      <c r="O97" s="187"/>
      <c r="P97" s="184"/>
    </row>
    <row r="98" ht="100" customHeight="1" spans="1:16" x14ac:dyDescent="0.25">
      <c r="A98" s="180">
        <v>4</v>
      </c>
      <c r="B98" s="185"/>
      <c r="C98" s="186"/>
      <c r="D98" s="187"/>
      <c r="E98" s="187"/>
      <c r="F98" s="187"/>
      <c r="G98" s="187"/>
      <c r="H98" s="187"/>
      <c r="I98" s="187"/>
      <c r="J98" s="187"/>
      <c r="K98" s="187"/>
      <c r="L98" s="187"/>
      <c r="M98" s="187"/>
      <c r="N98" s="187"/>
      <c r="O98" s="187"/>
      <c r="P98" s="184"/>
    </row>
    <row r="99" ht="100" customHeight="1" spans="1:16" x14ac:dyDescent="0.25">
      <c r="A99" s="180">
        <v>5</v>
      </c>
      <c r="B99" s="185"/>
      <c r="C99" s="186"/>
      <c r="D99" s="187"/>
      <c r="E99" s="187"/>
      <c r="F99" s="187"/>
      <c r="G99" s="187"/>
      <c r="H99" s="187"/>
      <c r="I99" s="187"/>
      <c r="J99" s="187"/>
      <c r="K99" s="187"/>
      <c r="L99" s="187"/>
      <c r="M99" s="187"/>
      <c r="N99" s="187"/>
      <c r="O99" s="187"/>
      <c r="P99" s="184"/>
    </row>
    <row r="100" ht="100" customHeight="1" spans="1:16" x14ac:dyDescent="0.25">
      <c r="A100" s="180">
        <v>6</v>
      </c>
      <c r="B100" s="185"/>
      <c r="C100" s="186"/>
      <c r="D100" s="187"/>
      <c r="E100" s="187"/>
      <c r="F100" s="187"/>
      <c r="G100" s="187"/>
      <c r="H100" s="187"/>
      <c r="I100" s="187"/>
      <c r="J100" s="187"/>
      <c r="K100" s="187"/>
      <c r="L100" s="187"/>
      <c r="M100" s="187"/>
      <c r="N100" s="187"/>
      <c r="O100" s="187"/>
      <c r="P100" s="184"/>
    </row>
    <row r="101" ht="100" customHeight="1" spans="1:16" x14ac:dyDescent="0.25">
      <c r="A101" s="180">
        <v>7</v>
      </c>
      <c r="B101" s="185"/>
      <c r="C101" s="186"/>
      <c r="D101" s="187"/>
      <c r="E101" s="187"/>
      <c r="F101" s="187"/>
      <c r="G101" s="187"/>
      <c r="H101" s="187"/>
      <c r="I101" s="187"/>
      <c r="J101" s="187"/>
      <c r="K101" s="187"/>
      <c r="L101" s="187"/>
      <c r="M101" s="187"/>
      <c r="N101" s="187"/>
      <c r="O101" s="187"/>
      <c r="P101" s="184"/>
    </row>
    <row r="102" ht="100" customHeight="1" spans="1:16" x14ac:dyDescent="0.25">
      <c r="A102" s="180">
        <v>8</v>
      </c>
      <c r="B102" s="185"/>
      <c r="C102" s="186"/>
      <c r="D102" s="187"/>
      <c r="E102" s="187"/>
      <c r="F102" s="187"/>
      <c r="G102" s="187"/>
      <c r="H102" s="187"/>
      <c r="I102" s="187"/>
      <c r="J102" s="187"/>
      <c r="K102" s="187"/>
      <c r="L102" s="187"/>
      <c r="M102" s="187"/>
      <c r="N102" s="187"/>
      <c r="O102" s="187"/>
      <c r="P102" s="184"/>
    </row>
    <row r="103" ht="100" customHeight="1" spans="1:16" x14ac:dyDescent="0.25">
      <c r="A103" s="180">
        <v>9</v>
      </c>
      <c r="B103" s="185"/>
      <c r="C103" s="186"/>
      <c r="D103" s="187"/>
      <c r="E103" s="187"/>
      <c r="F103" s="187"/>
      <c r="G103" s="187"/>
      <c r="H103" s="187"/>
      <c r="I103" s="187"/>
      <c r="J103" s="187"/>
      <c r="K103" s="187"/>
      <c r="L103" s="187"/>
      <c r="M103" s="187"/>
      <c r="N103" s="187"/>
      <c r="O103" s="187"/>
      <c r="P103" s="184"/>
    </row>
    <row r="104" ht="100" customHeight="1" spans="1:16" x14ac:dyDescent="0.25">
      <c r="A104" s="180">
        <v>10</v>
      </c>
      <c r="B104" s="185"/>
      <c r="C104" s="186"/>
      <c r="D104" s="187"/>
      <c r="E104" s="187"/>
      <c r="F104" s="187"/>
      <c r="G104" s="187"/>
      <c r="H104" s="187"/>
      <c r="I104" s="187"/>
      <c r="J104" s="187"/>
      <c r="K104" s="187"/>
      <c r="L104" s="187"/>
      <c r="M104" s="187"/>
      <c r="N104" s="187"/>
      <c r="O104" s="187"/>
      <c r="P104" s="184"/>
    </row>
    <row r="105" ht="100" customHeight="1" spans="1:16" x14ac:dyDescent="0.25">
      <c r="A105" s="180">
        <v>11</v>
      </c>
      <c r="B105" s="185"/>
      <c r="C105" s="186"/>
      <c r="D105" s="187"/>
      <c r="E105" s="187"/>
      <c r="F105" s="187"/>
      <c r="G105" s="187"/>
      <c r="H105" s="187"/>
      <c r="I105" s="187"/>
      <c r="J105" s="187"/>
      <c r="K105" s="187"/>
      <c r="L105" s="187"/>
      <c r="M105" s="187"/>
      <c r="N105" s="187"/>
      <c r="O105" s="187"/>
      <c r="P105" s="184"/>
    </row>
    <row r="106" ht="100" customHeight="1" spans="1:16" x14ac:dyDescent="0.25">
      <c r="A106" s="180">
        <v>12</v>
      </c>
      <c r="B106" s="185"/>
      <c r="C106" s="186"/>
      <c r="D106" s="187"/>
      <c r="E106" s="187"/>
      <c r="F106" s="187"/>
      <c r="G106" s="187"/>
      <c r="H106" s="187"/>
      <c r="I106" s="187"/>
      <c r="J106" s="187"/>
      <c r="K106" s="187"/>
      <c r="L106" s="187"/>
      <c r="M106" s="187"/>
      <c r="N106" s="187"/>
      <c r="O106" s="187"/>
      <c r="P106" s="184"/>
    </row>
    <row r="107" ht="100" customHeight="1" spans="1:16" x14ac:dyDescent="0.25">
      <c r="A107" s="180">
        <v>13</v>
      </c>
      <c r="B107" s="185"/>
      <c r="C107" s="186"/>
      <c r="D107" s="187"/>
      <c r="E107" s="187"/>
      <c r="F107" s="187"/>
      <c r="G107" s="187"/>
      <c r="H107" s="187"/>
      <c r="I107" s="187"/>
      <c r="J107" s="187"/>
      <c r="K107" s="187"/>
      <c r="L107" s="187"/>
      <c r="M107" s="187"/>
      <c r="N107" s="187"/>
      <c r="O107" s="187"/>
      <c r="P107" s="184"/>
    </row>
    <row r="108" ht="100" customHeight="1" spans="1:16" x14ac:dyDescent="0.25">
      <c r="A108" s="180">
        <v>14</v>
      </c>
      <c r="B108" s="185"/>
      <c r="C108" s="186"/>
      <c r="D108" s="187"/>
      <c r="E108" s="187"/>
      <c r="F108" s="187"/>
      <c r="G108" s="187"/>
      <c r="H108" s="187"/>
      <c r="I108" s="187"/>
      <c r="J108" s="187"/>
      <c r="K108" s="187"/>
      <c r="L108" s="187"/>
      <c r="M108" s="187"/>
      <c r="N108" s="187"/>
      <c r="O108" s="187"/>
      <c r="P108" s="184"/>
    </row>
    <row r="109" ht="100" customHeight="1" spans="1:16" x14ac:dyDescent="0.25">
      <c r="A109" s="180">
        <v>15</v>
      </c>
      <c r="B109" s="185"/>
      <c r="C109" s="186"/>
      <c r="D109" s="187"/>
      <c r="E109" s="187"/>
      <c r="F109" s="187"/>
      <c r="G109" s="187"/>
      <c r="H109" s="187"/>
      <c r="I109" s="187"/>
      <c r="J109" s="187"/>
      <c r="K109" s="187"/>
      <c r="L109" s="187"/>
      <c r="M109" s="187"/>
      <c r="N109" s="187"/>
      <c r="O109" s="187"/>
      <c r="P109" s="184"/>
    </row>
    <row r="110" ht="100" customHeight="1" spans="1:16" x14ac:dyDescent="0.25">
      <c r="A110" s="180">
        <v>16</v>
      </c>
      <c r="B110" s="185"/>
      <c r="C110" s="186"/>
      <c r="D110" s="187"/>
      <c r="E110" s="187"/>
      <c r="F110" s="187"/>
      <c r="G110" s="187"/>
      <c r="H110" s="187"/>
      <c r="I110" s="187"/>
      <c r="J110" s="187"/>
      <c r="K110" s="187"/>
      <c r="L110" s="187"/>
      <c r="M110" s="187"/>
      <c r="N110" s="187"/>
      <c r="O110" s="187"/>
      <c r="P110" s="184"/>
    </row>
    <row r="111" ht="100" customHeight="1" spans="1:16" x14ac:dyDescent="0.25">
      <c r="A111" s="180">
        <v>17</v>
      </c>
      <c r="B111" s="185"/>
      <c r="C111" s="186"/>
      <c r="D111" s="187"/>
      <c r="E111" s="187"/>
      <c r="F111" s="187"/>
      <c r="G111" s="187"/>
      <c r="H111" s="187"/>
      <c r="I111" s="187"/>
      <c r="J111" s="187"/>
      <c r="K111" s="187"/>
      <c r="L111" s="187"/>
      <c r="M111" s="187"/>
      <c r="N111" s="187"/>
      <c r="O111" s="187"/>
      <c r="P111" s="184"/>
    </row>
    <row r="112" ht="100" customHeight="1" spans="1:16" x14ac:dyDescent="0.25">
      <c r="A112" s="180">
        <v>18</v>
      </c>
      <c r="B112" s="185"/>
      <c r="C112" s="186"/>
      <c r="D112" s="187"/>
      <c r="E112" s="187"/>
      <c r="F112" s="187"/>
      <c r="G112" s="187"/>
      <c r="H112" s="187"/>
      <c r="I112" s="187"/>
      <c r="J112" s="187"/>
      <c r="K112" s="187"/>
      <c r="L112" s="187"/>
      <c r="M112" s="187"/>
      <c r="N112" s="187"/>
      <c r="O112" s="187"/>
      <c r="P112" s="184"/>
    </row>
    <row r="113" ht="100" customHeight="1" spans="1:16" x14ac:dyDescent="0.25">
      <c r="A113" s="180">
        <v>19</v>
      </c>
      <c r="B113" s="185"/>
      <c r="C113" s="186"/>
      <c r="D113" s="187"/>
      <c r="E113" s="187"/>
      <c r="F113" s="187"/>
      <c r="G113" s="187"/>
      <c r="H113" s="187"/>
      <c r="I113" s="187"/>
      <c r="J113" s="187"/>
      <c r="K113" s="187"/>
      <c r="L113" s="187"/>
      <c r="M113" s="187"/>
      <c r="N113" s="187"/>
      <c r="O113" s="187"/>
      <c r="P113" s="184"/>
    </row>
    <row r="114" ht="100" customHeight="1" spans="1:16" x14ac:dyDescent="0.25">
      <c r="A114" s="180">
        <v>20</v>
      </c>
      <c r="B114" s="185"/>
      <c r="C114" s="186"/>
      <c r="D114" s="187"/>
      <c r="E114" s="187"/>
      <c r="F114" s="187"/>
      <c r="G114" s="187"/>
      <c r="H114" s="187"/>
      <c r="I114" s="187"/>
      <c r="J114" s="187"/>
      <c r="K114" s="187"/>
      <c r="L114" s="187"/>
      <c r="M114" s="187"/>
      <c r="N114" s="187"/>
      <c r="O114" s="187"/>
      <c r="P114" s="184"/>
    </row>
    <row r="115" ht="100" customHeight="1" spans="1:16" x14ac:dyDescent="0.25">
      <c r="A115" s="180">
        <v>21</v>
      </c>
      <c r="B115" s="185"/>
      <c r="C115" s="186"/>
      <c r="D115" s="187"/>
      <c r="E115" s="187"/>
      <c r="F115" s="187"/>
      <c r="G115" s="187"/>
      <c r="H115" s="187"/>
      <c r="I115" s="187"/>
      <c r="J115" s="187"/>
      <c r="K115" s="187"/>
      <c r="L115" s="187"/>
      <c r="M115" s="187"/>
      <c r="N115" s="187"/>
      <c r="O115" s="187"/>
      <c r="P115" s="184"/>
    </row>
    <row r="116" ht="100" customHeight="1" spans="1:16" x14ac:dyDescent="0.25">
      <c r="A116" s="180">
        <v>22</v>
      </c>
      <c r="B116" s="185"/>
      <c r="C116" s="186"/>
      <c r="D116" s="187"/>
      <c r="E116" s="187"/>
      <c r="F116" s="187"/>
      <c r="G116" s="187"/>
      <c r="H116" s="187"/>
      <c r="I116" s="187"/>
      <c r="J116" s="187"/>
      <c r="K116" s="187"/>
      <c r="L116" s="187"/>
      <c r="M116" s="187"/>
      <c r="N116" s="187"/>
      <c r="O116" s="187"/>
      <c r="P116" s="184"/>
    </row>
    <row r="117" ht="100" customHeight="1" spans="1:16" x14ac:dyDescent="0.25">
      <c r="A117" s="180">
        <v>23</v>
      </c>
      <c r="B117" s="185"/>
      <c r="C117" s="186"/>
      <c r="D117" s="187"/>
      <c r="E117" s="187"/>
      <c r="F117" s="187"/>
      <c r="G117" s="187"/>
      <c r="H117" s="187"/>
      <c r="I117" s="187"/>
      <c r="J117" s="187"/>
      <c r="K117" s="187"/>
      <c r="L117" s="187"/>
      <c r="M117" s="187"/>
      <c r="N117" s="187"/>
      <c r="O117" s="187"/>
      <c r="P117" s="184"/>
    </row>
    <row r="118" ht="100" customHeight="1" spans="1:16" x14ac:dyDescent="0.25">
      <c r="A118" s="180">
        <v>24</v>
      </c>
      <c r="B118" s="185"/>
      <c r="C118" s="186"/>
      <c r="D118" s="187"/>
      <c r="E118" s="187"/>
      <c r="F118" s="187"/>
      <c r="G118" s="187"/>
      <c r="H118" s="187"/>
      <c r="I118" s="187"/>
      <c r="J118" s="187"/>
      <c r="K118" s="187"/>
      <c r="L118" s="187"/>
      <c r="M118" s="187"/>
      <c r="N118" s="187"/>
      <c r="O118" s="187"/>
      <c r="P118" s="184"/>
    </row>
    <row r="119" ht="100" customHeight="1" spans="1:16" x14ac:dyDescent="0.25">
      <c r="A119" s="180">
        <v>25</v>
      </c>
      <c r="B119" s="185"/>
      <c r="C119" s="186"/>
      <c r="D119" s="187"/>
      <c r="E119" s="187"/>
      <c r="F119" s="187"/>
      <c r="G119" s="187"/>
      <c r="H119" s="187"/>
      <c r="I119" s="187"/>
      <c r="J119" s="187"/>
      <c r="K119" s="187"/>
      <c r="L119" s="187"/>
      <c r="M119" s="187"/>
      <c r="N119" s="187"/>
      <c r="O119" s="187"/>
      <c r="P119" s="184"/>
    </row>
    <row r="120" ht="100" customHeight="1" spans="1:16" x14ac:dyDescent="0.25">
      <c r="A120" s="180">
        <v>26</v>
      </c>
      <c r="B120" s="185"/>
      <c r="C120" s="186"/>
      <c r="D120" s="187"/>
      <c r="E120" s="187"/>
      <c r="F120" s="187"/>
      <c r="G120" s="187"/>
      <c r="H120" s="187"/>
      <c r="I120" s="187"/>
      <c r="J120" s="187"/>
      <c r="K120" s="187"/>
      <c r="L120" s="187"/>
      <c r="M120" s="187"/>
      <c r="N120" s="187"/>
      <c r="O120" s="187"/>
      <c r="P120" s="184"/>
    </row>
    <row r="121" ht="100" customHeight="1" spans="1:16" x14ac:dyDescent="0.25">
      <c r="A121" s="180">
        <v>27</v>
      </c>
      <c r="B121" s="185"/>
      <c r="C121" s="186"/>
      <c r="D121" s="187"/>
      <c r="E121" s="187"/>
      <c r="F121" s="187"/>
      <c r="G121" s="187"/>
      <c r="H121" s="187"/>
      <c r="I121" s="187"/>
      <c r="J121" s="187"/>
      <c r="K121" s="187"/>
      <c r="L121" s="187"/>
      <c r="M121" s="187"/>
      <c r="N121" s="187"/>
      <c r="O121" s="187"/>
      <c r="P121" s="184"/>
    </row>
    <row r="122" ht="100" customHeight="1" spans="1:16" x14ac:dyDescent="0.25">
      <c r="A122" s="180">
        <v>28</v>
      </c>
      <c r="B122" s="185"/>
      <c r="C122" s="186"/>
      <c r="D122" s="187"/>
      <c r="E122" s="187"/>
      <c r="F122" s="187"/>
      <c r="G122" s="187"/>
      <c r="H122" s="187"/>
      <c r="I122" s="187"/>
      <c r="J122" s="187"/>
      <c r="K122" s="187"/>
      <c r="L122" s="187"/>
      <c r="M122" s="187"/>
      <c r="N122" s="187"/>
      <c r="O122" s="187"/>
      <c r="P122" s="184"/>
    </row>
    <row r="123" ht="100" customHeight="1" spans="1:16" x14ac:dyDescent="0.25">
      <c r="A123" s="180">
        <v>29</v>
      </c>
      <c r="B123" s="185"/>
      <c r="C123" s="186"/>
      <c r="D123" s="187"/>
      <c r="E123" s="187"/>
      <c r="F123" s="187"/>
      <c r="G123" s="187"/>
      <c r="H123" s="187"/>
      <c r="I123" s="187"/>
      <c r="J123" s="187"/>
      <c r="K123" s="187"/>
      <c r="L123" s="187"/>
      <c r="M123" s="187"/>
      <c r="N123" s="187"/>
      <c r="O123" s="187"/>
      <c r="P123" s="184"/>
    </row>
    <row r="124" ht="100" customHeight="1" spans="1:16" x14ac:dyDescent="0.25">
      <c r="A124" s="180">
        <v>30</v>
      </c>
      <c r="B124" s="185"/>
      <c r="C124" s="186"/>
      <c r="D124" s="187"/>
      <c r="E124" s="187"/>
      <c r="F124" s="187"/>
      <c r="G124" s="187"/>
      <c r="H124" s="187"/>
      <c r="I124" s="187"/>
      <c r="J124" s="187"/>
      <c r="K124" s="187"/>
      <c r="L124" s="187"/>
      <c r="M124" s="187"/>
      <c r="N124" s="187"/>
      <c r="O124" s="187"/>
      <c r="P124" s="184"/>
    </row>
    <row r="125" ht="100" customHeight="1" spans="1:16" x14ac:dyDescent="0.25">
      <c r="A125" s="180">
        <v>31</v>
      </c>
      <c r="B125" s="185"/>
      <c r="C125" s="186"/>
      <c r="D125" s="187"/>
      <c r="E125" s="187"/>
      <c r="F125" s="187"/>
      <c r="G125" s="187"/>
      <c r="H125" s="187"/>
      <c r="I125" s="187"/>
      <c r="J125" s="187"/>
      <c r="K125" s="187"/>
      <c r="L125" s="187"/>
      <c r="M125" s="187"/>
      <c r="N125" s="187"/>
      <c r="O125" s="187"/>
      <c r="P125" s="184"/>
    </row>
    <row r="126" ht="100" customHeight="1" spans="1:16" x14ac:dyDescent="0.25">
      <c r="A126" s="180">
        <v>32</v>
      </c>
      <c r="B126" s="185"/>
      <c r="C126" s="186"/>
      <c r="D126" s="187"/>
      <c r="E126" s="187"/>
      <c r="F126" s="187"/>
      <c r="G126" s="187"/>
      <c r="H126" s="187"/>
      <c r="I126" s="187"/>
      <c r="J126" s="187"/>
      <c r="K126" s="187"/>
      <c r="L126" s="187"/>
      <c r="M126" s="187"/>
      <c r="N126" s="187"/>
      <c r="O126" s="187"/>
      <c r="P126" s="184"/>
    </row>
    <row r="127" ht="100" customHeight="1" spans="1:16" x14ac:dyDescent="0.25">
      <c r="A127" s="180">
        <v>33</v>
      </c>
      <c r="B127" s="185"/>
      <c r="C127" s="186"/>
      <c r="D127" s="187"/>
      <c r="E127" s="187"/>
      <c r="F127" s="187"/>
      <c r="G127" s="187"/>
      <c r="H127" s="187"/>
      <c r="I127" s="187"/>
      <c r="J127" s="187"/>
      <c r="K127" s="187"/>
      <c r="L127" s="187"/>
      <c r="M127" s="187"/>
      <c r="N127" s="187"/>
      <c r="O127" s="187"/>
      <c r="P127" s="184"/>
    </row>
    <row r="128" ht="100" customHeight="1" spans="1:16" x14ac:dyDescent="0.25">
      <c r="A128" s="180">
        <v>34</v>
      </c>
      <c r="B128" s="185"/>
      <c r="C128" s="186"/>
      <c r="D128" s="187"/>
      <c r="E128" s="187"/>
      <c r="F128" s="187"/>
      <c r="G128" s="187"/>
      <c r="H128" s="187"/>
      <c r="I128" s="187"/>
      <c r="J128" s="187"/>
      <c r="K128" s="187"/>
      <c r="L128" s="187"/>
      <c r="M128" s="187"/>
      <c r="N128" s="187"/>
      <c r="O128" s="187"/>
      <c r="P128" s="184"/>
    </row>
    <row r="129" ht="100" customHeight="1" spans="1:16" x14ac:dyDescent="0.25">
      <c r="A129" s="180">
        <v>35</v>
      </c>
      <c r="B129" s="185"/>
      <c r="C129" s="186"/>
      <c r="D129" s="187"/>
      <c r="E129" s="187"/>
      <c r="F129" s="187"/>
      <c r="G129" s="187"/>
      <c r="H129" s="187"/>
      <c r="I129" s="187"/>
      <c r="J129" s="187"/>
      <c r="K129" s="187"/>
      <c r="L129" s="187"/>
      <c r="M129" s="187"/>
      <c r="N129" s="187"/>
      <c r="O129" s="187"/>
      <c r="P129" s="184"/>
    </row>
    <row r="130" ht="100" customHeight="1" spans="1:16" x14ac:dyDescent="0.25">
      <c r="A130" s="180">
        <v>36</v>
      </c>
      <c r="B130" s="185"/>
      <c r="C130" s="186"/>
      <c r="D130" s="187"/>
      <c r="E130" s="187"/>
      <c r="F130" s="187"/>
      <c r="G130" s="187"/>
      <c r="H130" s="187"/>
      <c r="I130" s="187"/>
      <c r="J130" s="187"/>
      <c r="K130" s="187"/>
      <c r="L130" s="187"/>
      <c r="M130" s="187"/>
      <c r="N130" s="187"/>
      <c r="O130" s="187"/>
      <c r="P130" s="184"/>
    </row>
    <row r="131" ht="100" customHeight="1" spans="1:16" x14ac:dyDescent="0.25">
      <c r="A131" s="180">
        <v>37</v>
      </c>
      <c r="B131" s="185"/>
      <c r="C131" s="186"/>
      <c r="D131" s="187"/>
      <c r="E131" s="187"/>
      <c r="F131" s="187"/>
      <c r="G131" s="187"/>
      <c r="H131" s="187"/>
      <c r="I131" s="187"/>
      <c r="J131" s="187"/>
      <c r="K131" s="187"/>
      <c r="L131" s="187"/>
      <c r="M131" s="187"/>
      <c r="N131" s="187"/>
      <c r="O131" s="187"/>
      <c r="P131" s="184"/>
    </row>
    <row r="132" ht="100" customHeight="1" spans="1:16" x14ac:dyDescent="0.25">
      <c r="A132" s="180">
        <v>38</v>
      </c>
      <c r="B132" s="185"/>
      <c r="C132" s="186"/>
      <c r="D132" s="187"/>
      <c r="E132" s="187"/>
      <c r="F132" s="187"/>
      <c r="G132" s="187"/>
      <c r="H132" s="187"/>
      <c r="I132" s="187"/>
      <c r="J132" s="187"/>
      <c r="K132" s="187"/>
      <c r="L132" s="187"/>
      <c r="M132" s="187"/>
      <c r="N132" s="187"/>
      <c r="O132" s="187"/>
      <c r="P132" s="184"/>
    </row>
    <row r="133" ht="100" customHeight="1" spans="1:16" x14ac:dyDescent="0.25">
      <c r="A133" s="180">
        <v>39</v>
      </c>
      <c r="B133" s="185"/>
      <c r="C133" s="186"/>
      <c r="D133" s="187"/>
      <c r="E133" s="187"/>
      <c r="F133" s="187"/>
      <c r="G133" s="187"/>
      <c r="H133" s="187"/>
      <c r="I133" s="187"/>
      <c r="J133" s="187"/>
      <c r="K133" s="187"/>
      <c r="L133" s="187"/>
      <c r="M133" s="187"/>
      <c r="N133" s="187"/>
      <c r="O133" s="187"/>
      <c r="P133" s="184"/>
    </row>
    <row r="134" ht="100" customHeight="1" spans="1:16" x14ac:dyDescent="0.25">
      <c r="A134" s="180">
        <v>40</v>
      </c>
      <c r="B134" s="185"/>
      <c r="C134" s="186"/>
      <c r="D134" s="187"/>
      <c r="E134" s="187"/>
      <c r="F134" s="187"/>
      <c r="G134" s="187"/>
      <c r="H134" s="187"/>
      <c r="I134" s="187"/>
      <c r="J134" s="187"/>
      <c r="K134" s="187"/>
      <c r="L134" s="187"/>
      <c r="M134" s="187"/>
      <c r="N134" s="187"/>
      <c r="O134" s="187"/>
      <c r="P134" s="184"/>
    </row>
    <row r="135" ht="100" customHeight="1" spans="1:16" x14ac:dyDescent="0.25">
      <c r="A135" s="180">
        <v>41</v>
      </c>
      <c r="B135" s="185"/>
      <c r="C135" s="186"/>
      <c r="D135" s="187"/>
      <c r="E135" s="187"/>
      <c r="F135" s="187"/>
      <c r="G135" s="187"/>
      <c r="H135" s="187"/>
      <c r="I135" s="187"/>
      <c r="J135" s="187"/>
      <c r="K135" s="187"/>
      <c r="L135" s="187"/>
      <c r="M135" s="187"/>
      <c r="N135" s="187"/>
      <c r="O135" s="187"/>
      <c r="P135" s="184"/>
    </row>
    <row r="136" ht="100" customHeight="1" spans="1:16" x14ac:dyDescent="0.25">
      <c r="A136" s="180">
        <v>42</v>
      </c>
      <c r="B136" s="185"/>
      <c r="C136" s="186"/>
      <c r="D136" s="187"/>
      <c r="E136" s="187"/>
      <c r="F136" s="187"/>
      <c r="G136" s="187"/>
      <c r="H136" s="187"/>
      <c r="I136" s="187"/>
      <c r="J136" s="187"/>
      <c r="K136" s="187"/>
      <c r="L136" s="187"/>
      <c r="M136" s="187"/>
      <c r="N136" s="187"/>
      <c r="O136" s="187"/>
      <c r="P136" s="184"/>
    </row>
    <row r="137" ht="100" customHeight="1" spans="1:16" x14ac:dyDescent="0.25">
      <c r="A137" s="180">
        <v>43</v>
      </c>
      <c r="B137" s="185"/>
      <c r="C137" s="186"/>
      <c r="D137" s="187"/>
      <c r="E137" s="187"/>
      <c r="F137" s="187"/>
      <c r="G137" s="187"/>
      <c r="H137" s="187"/>
      <c r="I137" s="187"/>
      <c r="J137" s="187"/>
      <c r="K137" s="187"/>
      <c r="L137" s="187"/>
      <c r="M137" s="187"/>
      <c r="N137" s="187"/>
      <c r="O137" s="187"/>
      <c r="P137" s="184"/>
    </row>
    <row r="138" ht="100" customHeight="1" spans="1:16" x14ac:dyDescent="0.25">
      <c r="A138" s="180">
        <v>44</v>
      </c>
      <c r="B138" s="185"/>
      <c r="C138" s="186"/>
      <c r="D138" s="187"/>
      <c r="E138" s="187"/>
      <c r="F138" s="187"/>
      <c r="G138" s="187"/>
      <c r="H138" s="187"/>
      <c r="I138" s="187"/>
      <c r="J138" s="187"/>
      <c r="K138" s="187"/>
      <c r="L138" s="187"/>
      <c r="M138" s="187"/>
      <c r="N138" s="187"/>
      <c r="O138" s="187"/>
      <c r="P138" s="184"/>
    </row>
    <row r="139" ht="100" customHeight="1" spans="1:16" x14ac:dyDescent="0.25">
      <c r="A139" s="180">
        <v>45</v>
      </c>
      <c r="B139" s="185"/>
      <c r="C139" s="186"/>
      <c r="D139" s="187"/>
      <c r="E139" s="187"/>
      <c r="F139" s="187"/>
      <c r="G139" s="187"/>
      <c r="H139" s="187"/>
      <c r="I139" s="187"/>
      <c r="J139" s="187"/>
      <c r="K139" s="187"/>
      <c r="L139" s="187"/>
      <c r="M139" s="187"/>
      <c r="N139" s="187"/>
      <c r="O139" s="187"/>
      <c r="P139" s="184"/>
    </row>
    <row r="140" ht="100" customHeight="1" spans="1:16" x14ac:dyDescent="0.25">
      <c r="A140" s="180">
        <v>46</v>
      </c>
      <c r="B140" s="185"/>
      <c r="C140" s="186"/>
      <c r="D140" s="187"/>
      <c r="E140" s="187"/>
      <c r="F140" s="187"/>
      <c r="G140" s="187"/>
      <c r="H140" s="187"/>
      <c r="I140" s="187"/>
      <c r="J140" s="187"/>
      <c r="K140" s="187"/>
      <c r="L140" s="187"/>
      <c r="M140" s="187"/>
      <c r="N140" s="187"/>
      <c r="O140" s="187"/>
      <c r="P140" s="184"/>
    </row>
    <row r="141" ht="100" customHeight="1" spans="1:16" x14ac:dyDescent="0.25">
      <c r="A141" s="180">
        <v>47</v>
      </c>
      <c r="B141" s="185"/>
      <c r="C141" s="186"/>
      <c r="D141" s="187"/>
      <c r="E141" s="187"/>
      <c r="F141" s="187"/>
      <c r="G141" s="187"/>
      <c r="H141" s="187"/>
      <c r="I141" s="187"/>
      <c r="J141" s="187"/>
      <c r="K141" s="187"/>
      <c r="L141" s="187"/>
      <c r="M141" s="187"/>
      <c r="N141" s="187"/>
      <c r="O141" s="187"/>
      <c r="P141" s="184"/>
    </row>
    <row r="142" ht="100" customHeight="1" spans="1:16" x14ac:dyDescent="0.25">
      <c r="A142" s="180">
        <v>48</v>
      </c>
      <c r="B142" s="185"/>
      <c r="C142" s="186"/>
      <c r="D142" s="187"/>
      <c r="E142" s="187"/>
      <c r="F142" s="187"/>
      <c r="G142" s="187"/>
      <c r="H142" s="187"/>
      <c r="I142" s="187"/>
      <c r="J142" s="187"/>
      <c r="K142" s="187"/>
      <c r="L142" s="187"/>
      <c r="M142" s="187"/>
      <c r="N142" s="187"/>
      <c r="O142" s="187"/>
      <c r="P142" s="184"/>
    </row>
    <row r="143" ht="100" customHeight="1" spans="1:16" x14ac:dyDescent="0.25">
      <c r="A143" s="180">
        <v>49</v>
      </c>
      <c r="B143" s="185"/>
      <c r="C143" s="186"/>
      <c r="D143" s="187"/>
      <c r="E143" s="187"/>
      <c r="F143" s="187"/>
      <c r="G143" s="187"/>
      <c r="H143" s="187"/>
      <c r="I143" s="187"/>
      <c r="J143" s="187"/>
      <c r="K143" s="187"/>
      <c r="L143" s="187"/>
      <c r="M143" s="187"/>
      <c r="N143" s="187"/>
      <c r="O143" s="187"/>
      <c r="P143" s="184"/>
    </row>
    <row r="144" ht="100" customHeight="1" spans="1:16" x14ac:dyDescent="0.25">
      <c r="A144" s="180">
        <v>50</v>
      </c>
      <c r="B144" s="185"/>
      <c r="C144" s="186"/>
      <c r="D144" s="187"/>
      <c r="E144" s="187"/>
      <c r="F144" s="187"/>
      <c r="G144" s="187"/>
      <c r="H144" s="187"/>
      <c r="I144" s="187"/>
      <c r="J144" s="187"/>
      <c r="K144" s="187"/>
      <c r="L144" s="187"/>
      <c r="M144" s="187"/>
      <c r="N144" s="187"/>
      <c r="O144" s="187"/>
      <c r="P144" s="184"/>
    </row>
    <row r="145" ht="100" customHeight="1" spans="1:16" x14ac:dyDescent="0.25">
      <c r="A145" s="180">
        <v>51</v>
      </c>
      <c r="B145" s="185"/>
      <c r="C145" s="186"/>
      <c r="D145" s="187"/>
      <c r="E145" s="187"/>
      <c r="F145" s="187"/>
      <c r="G145" s="187"/>
      <c r="H145" s="187"/>
      <c r="I145" s="187"/>
      <c r="J145" s="187"/>
      <c r="K145" s="187"/>
      <c r="L145" s="187"/>
      <c r="M145" s="187"/>
      <c r="N145" s="187"/>
      <c r="O145" s="187"/>
      <c r="P145" s="184"/>
    </row>
    <row r="146" ht="100" customHeight="1" spans="1:16" x14ac:dyDescent="0.25">
      <c r="A146" s="180">
        <v>52</v>
      </c>
      <c r="B146" s="185"/>
      <c r="C146" s="186"/>
      <c r="D146" s="187"/>
      <c r="E146" s="187"/>
      <c r="F146" s="187"/>
      <c r="G146" s="187"/>
      <c r="H146" s="187"/>
      <c r="I146" s="187"/>
      <c r="J146" s="187"/>
      <c r="K146" s="187"/>
      <c r="L146" s="187"/>
      <c r="M146" s="187"/>
      <c r="N146" s="187"/>
      <c r="O146" s="187"/>
      <c r="P146" s="184"/>
    </row>
    <row r="147" ht="100" customHeight="1" spans="1:16" x14ac:dyDescent="0.25">
      <c r="A147" s="180">
        <v>53</v>
      </c>
      <c r="B147" s="185"/>
      <c r="C147" s="186"/>
      <c r="D147" s="187"/>
      <c r="E147" s="187"/>
      <c r="F147" s="187"/>
      <c r="G147" s="187"/>
      <c r="H147" s="187"/>
      <c r="I147" s="187"/>
      <c r="J147" s="187"/>
      <c r="K147" s="187"/>
      <c r="L147" s="187"/>
      <c r="M147" s="187"/>
      <c r="N147" s="187"/>
      <c r="O147" s="187"/>
      <c r="P147" s="184"/>
    </row>
    <row r="148" ht="100" customHeight="1" spans="1:16" x14ac:dyDescent="0.25">
      <c r="A148" s="180">
        <v>54</v>
      </c>
      <c r="B148" s="185"/>
      <c r="C148" s="186"/>
      <c r="D148" s="187"/>
      <c r="E148" s="187"/>
      <c r="F148" s="187"/>
      <c r="G148" s="187"/>
      <c r="H148" s="187"/>
      <c r="I148" s="187"/>
      <c r="J148" s="187"/>
      <c r="K148" s="187"/>
      <c r="L148" s="187"/>
      <c r="M148" s="187"/>
      <c r="N148" s="187"/>
      <c r="O148" s="187"/>
      <c r="P148" s="184"/>
    </row>
    <row r="149" ht="100" customHeight="1" spans="1:16" x14ac:dyDescent="0.25">
      <c r="A149" s="180">
        <v>55</v>
      </c>
      <c r="B149" s="185"/>
      <c r="C149" s="186"/>
      <c r="D149" s="187"/>
      <c r="E149" s="187"/>
      <c r="F149" s="187"/>
      <c r="G149" s="187"/>
      <c r="H149" s="187"/>
      <c r="I149" s="187"/>
      <c r="J149" s="187"/>
      <c r="K149" s="187"/>
      <c r="L149" s="187"/>
      <c r="M149" s="187"/>
      <c r="N149" s="187"/>
      <c r="O149" s="187"/>
      <c r="P149" s="184"/>
    </row>
    <row r="150" ht="100" customHeight="1" spans="1:16" x14ac:dyDescent="0.25">
      <c r="A150" s="180">
        <v>56</v>
      </c>
      <c r="B150" s="185"/>
      <c r="C150" s="186"/>
      <c r="D150" s="187"/>
      <c r="E150" s="187"/>
      <c r="F150" s="187"/>
      <c r="G150" s="187"/>
      <c r="H150" s="187"/>
      <c r="I150" s="187"/>
      <c r="J150" s="187"/>
      <c r="K150" s="187"/>
      <c r="L150" s="187"/>
      <c r="M150" s="187"/>
      <c r="N150" s="187"/>
      <c r="O150" s="187"/>
      <c r="P150" s="184"/>
    </row>
    <row r="151" ht="100" customHeight="1" spans="1:16" x14ac:dyDescent="0.25">
      <c r="A151" s="180">
        <v>57</v>
      </c>
      <c r="B151" s="185"/>
      <c r="C151" s="186"/>
      <c r="D151" s="187"/>
      <c r="E151" s="187"/>
      <c r="F151" s="187"/>
      <c r="G151" s="187"/>
      <c r="H151" s="187"/>
      <c r="I151" s="187"/>
      <c r="J151" s="187"/>
      <c r="K151" s="187"/>
      <c r="L151" s="187"/>
      <c r="M151" s="187"/>
      <c r="N151" s="187"/>
      <c r="O151" s="187"/>
      <c r="P151" s="184"/>
    </row>
    <row r="152" ht="100" customHeight="1" spans="1:16" x14ac:dyDescent="0.25">
      <c r="A152" s="180">
        <v>58</v>
      </c>
      <c r="B152" s="185"/>
      <c r="C152" s="186"/>
      <c r="D152" s="187"/>
      <c r="E152" s="187"/>
      <c r="F152" s="187"/>
      <c r="G152" s="187"/>
      <c r="H152" s="187"/>
      <c r="I152" s="187"/>
      <c r="J152" s="187"/>
      <c r="K152" s="187"/>
      <c r="L152" s="187"/>
      <c r="M152" s="187"/>
      <c r="N152" s="187"/>
      <c r="O152" s="187"/>
      <c r="P152" s="184"/>
    </row>
    <row r="153" ht="100" customHeight="1" spans="1:16" x14ac:dyDescent="0.25">
      <c r="A153" s="180">
        <v>59</v>
      </c>
      <c r="B153" s="185"/>
      <c r="C153" s="186"/>
      <c r="D153" s="187"/>
      <c r="E153" s="187"/>
      <c r="F153" s="187"/>
      <c r="G153" s="187"/>
      <c r="H153" s="187"/>
      <c r="I153" s="187"/>
      <c r="J153" s="187"/>
      <c r="K153" s="187"/>
      <c r="L153" s="187"/>
      <c r="M153" s="187"/>
      <c r="N153" s="187"/>
      <c r="O153" s="187"/>
      <c r="P153" s="184"/>
    </row>
    <row r="154" ht="100" customHeight="1" spans="1:16" x14ac:dyDescent="0.25">
      <c r="A154" s="180">
        <v>60</v>
      </c>
      <c r="B154" s="185"/>
      <c r="C154" s="186"/>
      <c r="D154" s="187"/>
      <c r="E154" s="187"/>
      <c r="F154" s="187"/>
      <c r="G154" s="187"/>
      <c r="H154" s="187"/>
      <c r="I154" s="187"/>
      <c r="J154" s="187"/>
      <c r="K154" s="187"/>
      <c r="L154" s="187"/>
      <c r="M154" s="187"/>
      <c r="N154" s="187"/>
      <c r="O154" s="187"/>
      <c r="P154" s="184"/>
    </row>
  </sheetData>
  <autoFilter ref="A19:P31"/>
  <mergeCells count="62">
    <mergeCell ref="D90:F90"/>
    <mergeCell ref="D94:O94"/>
    <mergeCell ref="D95:O95"/>
    <mergeCell ref="D96:O96"/>
    <mergeCell ref="D97:O97"/>
    <mergeCell ref="D98:O98"/>
    <mergeCell ref="D99:O99"/>
    <mergeCell ref="D100:O100"/>
    <mergeCell ref="D101:O101"/>
    <mergeCell ref="D102:O102"/>
    <mergeCell ref="D103:O103"/>
    <mergeCell ref="D104:O104"/>
    <mergeCell ref="D105:O105"/>
    <mergeCell ref="D106:O106"/>
    <mergeCell ref="D107:O107"/>
    <mergeCell ref="D108:O108"/>
    <mergeCell ref="D109:O109"/>
    <mergeCell ref="D110:O110"/>
    <mergeCell ref="D111:O111"/>
    <mergeCell ref="D112:O112"/>
    <mergeCell ref="D113:O113"/>
    <mergeCell ref="D114:O114"/>
    <mergeCell ref="D115:O115"/>
    <mergeCell ref="D116:O116"/>
    <mergeCell ref="D117:O117"/>
    <mergeCell ref="D118:O118"/>
    <mergeCell ref="D119:O119"/>
    <mergeCell ref="D120:O120"/>
    <mergeCell ref="D121:O121"/>
    <mergeCell ref="D122:O122"/>
    <mergeCell ref="D123:O123"/>
    <mergeCell ref="D124:O124"/>
    <mergeCell ref="D125:O125"/>
    <mergeCell ref="D126:O126"/>
    <mergeCell ref="D127:O127"/>
    <mergeCell ref="D128:O128"/>
    <mergeCell ref="D129:O129"/>
    <mergeCell ref="D130:O130"/>
    <mergeCell ref="D131:O131"/>
    <mergeCell ref="D132:O132"/>
    <mergeCell ref="D133:O133"/>
    <mergeCell ref="D134:O134"/>
    <mergeCell ref="D135:O135"/>
    <mergeCell ref="D136:O136"/>
    <mergeCell ref="D137:O137"/>
    <mergeCell ref="D138:O138"/>
    <mergeCell ref="D139:O139"/>
    <mergeCell ref="D140:O140"/>
    <mergeCell ref="D141:O141"/>
    <mergeCell ref="D142:O142"/>
    <mergeCell ref="D143:O143"/>
    <mergeCell ref="D144:O144"/>
    <mergeCell ref="D145:O145"/>
    <mergeCell ref="D146:O146"/>
    <mergeCell ref="D147:O147"/>
    <mergeCell ref="D148:O148"/>
    <mergeCell ref="D149:O149"/>
    <mergeCell ref="D150:O150"/>
    <mergeCell ref="D151:O151"/>
    <mergeCell ref="D152:O152"/>
    <mergeCell ref="D153:O153"/>
    <mergeCell ref="D154:O154"/>
  </mergeCells>
  <pageMargins left="0.25" right="0.25" top="0.75" bottom="0.75" header="0.298611111111111" footer="0.298611111111111"/>
  <pageSetup paperSize="9" orientation="landscape"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Contract</vt:lpstr>
      <vt:lpstr>Template_CI</vt:lpstr>
      <vt:lpstr>Template_PL</vt:lpstr>
      <vt:lpstr>报关单及申报要素</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dc:title>Price Quote Template</dc:title>
  <dc:description>(c) 2010-2014 Vertex42 LLC. All Rights Reserved.</dc:description>
  <cp:lastModifiedBy>Lynne</cp:lastModifiedBy>
  <dcterms:created xsi:type="dcterms:W3CDTF">2004-08-16T18:44:00Z</dcterms:created>
  <dcterms:modified xsi:type="dcterms:W3CDTF">2026-07-15T03:53:57Z</dcterms:modified>
</cp:coreProperties>
</file>