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6.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8800" windowHeight="12255" firstSheet="1"/>
  </bookViews>
  <sheets>
    <sheet sheetId="6" name="Sales Contract" state="visible" r:id="rId4"/>
    <sheet sheetId="4" name="Template_CI" state="visible" r:id="rId5"/>
    <sheet sheetId="3" name="Template_PL" state="visible" r:id="rId6"/>
    <sheet sheetId="7" name="报关单及申报要素" state="visible" r:id="rId7"/>
  </sheets>
  <definedNames>
    <definedName name="_xlnm._FilterDatabase">'报关单及申报要素'!$A$19:$P$31</definedName>
    <definedName name="_xlnm.Print_Area" localSheetId="0">'Sales Contract'!$A1:$F64</definedName>
    <definedName name="_xlnm.Print_Area" localSheetId="1">'Template_CI'!$A1:$F49</definedName>
    <definedName name="_xlnm.Print_Area" localSheetId="2">'Template_PL'!$A1:$G53</definedName>
  </definedNames>
  <calcPr calcId="171027"/>
</workbook>
</file>

<file path=xl/sharedStrings.xml><?xml version="1.0" encoding="utf-8"?>
<sst xmlns="http://schemas.openxmlformats.org/spreadsheetml/2006/main" count="198" uniqueCount="143">
  <si>
    <r>
      <rPr>
        <b/>
        <charset val="134"/>
        <color theme="1"/>
        <sz val="26"/>
        <rFont val="宋体"/>
      </rPr>
      <t>销售合同</t>
    </r>
    <r>
      <rPr>
        <b/>
        <charset val="134"/>
        <color theme="1"/>
        <sz val="26"/>
        <rFont val="Times New Roman"/>
      </rPr>
      <t xml:space="preserve">
SALES CONTRACT</t>
    </r>
  </si>
  <si>
    <r>
      <rPr>
        <charset val="134"/>
        <color theme="1"/>
        <sz val="12"/>
        <rFont val="宋体"/>
      </rPr>
      <t>合同号</t>
    </r>
    <r>
      <rPr>
        <charset val="134"/>
        <color theme="1"/>
        <sz val="12"/>
        <rFont val="Times New Roman"/>
      </rPr>
      <t xml:space="preserve">
Contract No.:</t>
    </r>
  </si>
  <si>
    <r>
      <rPr>
        <charset val="134"/>
        <color theme="1"/>
        <sz val="12"/>
        <rFont val="宋体"/>
      </rPr>
      <t>合同日期</t>
    </r>
    <r>
      <rPr>
        <charset val="134"/>
        <color theme="1"/>
        <sz val="12"/>
        <rFont val="Times New Roman"/>
      </rPr>
      <t xml:space="preserve">:
CONTRACT DATE:</t>
    </r>
  </si>
  <si>
    <r>
      <rPr>
        <b/>
        <charset val="134"/>
        <color theme="1"/>
        <sz val="12"/>
        <rFont val="宋体"/>
      </rPr>
      <t>卖方</t>
    </r>
    <r>
      <rPr>
        <b/>
        <charset val="134"/>
        <color theme="1"/>
        <sz val="12"/>
        <rFont val="Times New Roman"/>
      </rPr>
      <t xml:space="preserve"> 
SELLER:</t>
    </r>
  </si>
  <si>
    <r>
      <rPr>
        <charset val="134"/>
        <color theme="1"/>
        <sz val="12"/>
        <rFont val="宋体"/>
      </rPr>
      <t>北京鸿坤环宇贸易咨询有限责任公司</t>
    </r>
    <r>
      <rPr>
        <charset val="134"/>
        <color theme="1"/>
        <sz val="12"/>
        <rFont val="Times New Roman"/>
      </rPr>
      <t xml:space="preserve">
HK Global Trade Consulting LLC</t>
    </r>
  </si>
  <si>
    <r>
      <rPr>
        <b/>
        <charset val="134"/>
        <color theme="1"/>
        <sz val="12"/>
        <rFont val="宋体"/>
      </rPr>
      <t>地址</t>
    </r>
    <r>
      <rPr>
        <b/>
        <charset val="134"/>
        <color theme="1"/>
        <sz val="12"/>
        <rFont val="Times New Roman"/>
      </rPr>
      <t xml:space="preserve"> 
ADDRESS:</t>
    </r>
  </si>
  <si>
    <r>
      <rPr>
        <charset val="134"/>
        <color theme="1"/>
        <sz val="12"/>
        <rFont val="宋体"/>
      </rPr>
      <t>北京西城区西直门外大街</t>
    </r>
    <r>
      <rPr>
        <charset val="134"/>
        <color theme="1"/>
        <sz val="12"/>
        <rFont val="Times New Roman"/>
      </rPr>
      <t>18</t>
    </r>
    <r>
      <rPr>
        <charset val="134"/>
        <color theme="1"/>
        <sz val="12"/>
        <rFont val="宋体"/>
      </rPr>
      <t>号楼</t>
    </r>
    <r>
      <rPr>
        <charset val="134"/>
        <color theme="1"/>
        <sz val="12"/>
        <rFont val="Times New Roman"/>
      </rPr>
      <t>14</t>
    </r>
    <r>
      <rPr>
        <charset val="134"/>
        <color theme="1"/>
        <sz val="12"/>
        <rFont val="宋体"/>
      </rPr>
      <t>层</t>
    </r>
    <r>
      <rPr>
        <charset val="134"/>
        <color theme="1"/>
        <sz val="12"/>
        <rFont val="Times New Roman"/>
      </rPr>
      <t>1</t>
    </r>
    <r>
      <rPr>
        <charset val="134"/>
        <color theme="1"/>
        <sz val="12"/>
        <rFont val="宋体"/>
      </rPr>
      <t>单元</t>
    </r>
    <r>
      <rPr>
        <charset val="134"/>
        <color theme="1"/>
        <sz val="12"/>
        <rFont val="Times New Roman"/>
      </rPr>
      <t xml:space="preserve">
1708Add: No.18 Xizhimenwai Street 14th Floor Unit 1708,</t>
    </r>
  </si>
  <si>
    <t>Xicheng District, Beijing, China 100044</t>
  </si>
  <si>
    <r>
      <rPr>
        <b/>
        <charset val="134"/>
        <color theme="1"/>
        <sz val="12"/>
        <rFont val="宋体"/>
      </rPr>
      <t>买方</t>
    </r>
    <r>
      <rPr>
        <b/>
        <charset val="134"/>
        <color theme="1"/>
        <sz val="12"/>
        <rFont val="Times New Roman"/>
      </rPr>
      <t xml:space="preserve"> 
BUYER:</t>
    </r>
  </si>
  <si>
    <t>ATTN:</t>
  </si>
  <si>
    <t>TEL:</t>
  </si>
  <si>
    <r>
      <rPr>
        <charset val="134"/>
        <color theme="1"/>
        <sz val="12"/>
        <rFont val="宋体"/>
      </rPr>
      <t>买卖双方同意成交下列商品签订条款如下：</t>
    </r>
  </si>
  <si>
    <t>The undersigned Sellers and Buyers have agreed to close the following transactions according tothe terms and conditions stipulated below:</t>
  </si>
  <si>
    <t>NUMBER</t>
  </si>
  <si>
    <t>DESCRIPTION OF GOODS</t>
  </si>
  <si>
    <t>QUANTITY</t>
  </si>
  <si>
    <t>UNIT</t>
  </si>
  <si>
    <t>UNIT PRICE</t>
  </si>
  <si>
    <t>TOTAL AMOUNT</t>
  </si>
  <si>
    <r>
      <rPr>
        <charset val="134"/>
        <sz val="12"/>
        <rFont val="宋体"/>
      </rPr>
      <t>单价</t>
    </r>
    <r>
      <rPr>
        <charset val="134"/>
        <sz val="12"/>
        <rFont val="Times New Roman"/>
      </rPr>
      <t>RMB</t>
    </r>
  </si>
  <si>
    <t>总价RMB</t>
  </si>
  <si>
    <t>含税人民币汇总</t>
  </si>
  <si>
    <t>汇率</t>
  </si>
  <si>
    <t>请给出利润点</t>
  </si>
  <si>
    <r>
      <rPr>
        <charset val="134"/>
        <sz val="12"/>
        <rFont val="Times New Roman"/>
      </rPr>
      <t>FOB</t>
    </r>
    <r>
      <rPr>
        <charset val="134"/>
        <sz val="12"/>
        <rFont val="宋体"/>
      </rPr>
      <t>单价</t>
    </r>
    <r>
      <rPr>
        <charset val="134"/>
        <sz val="12"/>
        <rFont val="Times New Roman"/>
      </rPr>
      <t xml:space="preserve">
</t>
    </r>
    <r>
      <rPr>
        <charset val="134"/>
        <sz val="12"/>
        <rFont val="宋体"/>
      </rPr>
      <t>（报关单价</t>
    </r>
    <r>
      <rPr>
        <charset val="134"/>
        <sz val="12"/>
        <rFont val="Times New Roman"/>
      </rPr>
      <t>USD</t>
    </r>
    <r>
      <rPr>
        <charset val="134"/>
        <sz val="12"/>
        <rFont val="宋体"/>
      </rPr>
      <t>）</t>
    </r>
  </si>
  <si>
    <r>
      <rPr>
        <charset val="134"/>
        <sz val="12"/>
        <rFont val="Times New Roman"/>
      </rPr>
      <t>FOB</t>
    </r>
    <r>
      <rPr>
        <charset val="134"/>
        <sz val="12"/>
        <rFont val="宋体"/>
      </rPr>
      <t>总价</t>
    </r>
    <r>
      <rPr>
        <charset val="134"/>
        <sz val="12"/>
        <rFont val="Times New Roman"/>
      </rPr>
      <t xml:space="preserve">
</t>
    </r>
    <r>
      <rPr>
        <charset val="134"/>
        <sz val="12"/>
        <rFont val="宋体"/>
      </rPr>
      <t>（报关总价</t>
    </r>
    <r>
      <rPr>
        <charset val="134"/>
        <sz val="12"/>
        <rFont val="Times New Roman"/>
      </rPr>
      <t>USD</t>
    </r>
    <r>
      <rPr>
        <charset val="134"/>
        <sz val="12"/>
        <rFont val="宋体"/>
      </rPr>
      <t>）</t>
    </r>
  </si>
  <si>
    <t>TOTAL</t>
  </si>
  <si>
    <t>1. 付款条件</t>
  </si>
  <si>
    <r>
      <rPr>
        <b/>
        <charset val="134"/>
        <color theme="1"/>
        <sz val="12"/>
        <rFont val="Times New Roman"/>
      </rPr>
      <t>Payment Terms:</t>
    </r>
    <r>
      <rPr>
        <charset val="134"/>
        <color theme="1"/>
        <sz val="12"/>
        <rFont val="Times New Roman"/>
      </rPr>
      <t xml:space="preserve"> 100% payment by T/T.</t>
    </r>
  </si>
  <si>
    <t>江总说床垫款项先不付，暂时不算成本，先发货；</t>
  </si>
  <si>
    <t>2. 装运时间</t>
  </si>
  <si>
    <r>
      <rPr>
        <b/>
        <charset val="134"/>
        <color theme="1"/>
        <sz val="12"/>
        <rFont val="Times New Roman"/>
      </rPr>
      <t>Delivery Time:</t>
    </r>
    <r>
      <rPr>
        <charset val="134"/>
        <color theme="1"/>
        <sz val="12"/>
        <rFont val="Times New Roman"/>
      </rPr>
      <t xml:space="preserve"> Within 35-40 days after receive payment.</t>
    </r>
  </si>
  <si>
    <t>3. 装运口岸</t>
  </si>
  <si>
    <t>4. 目的港口</t>
  </si>
  <si>
    <t>此批次发货汇总</t>
  </si>
  <si>
    <t>5. 成交方式</t>
  </si>
  <si>
    <r>
      <rPr>
        <b/>
        <charset val="134"/>
        <sz val="12"/>
        <rFont val="Times New Roman"/>
      </rPr>
      <t>Trade Terms:</t>
    </r>
    <r>
      <rPr>
        <charset val="134"/>
        <sz val="12"/>
        <rFont val="Times New Roman"/>
      </rPr>
      <t xml:space="preserve"> FOB YANTIAN, CHINA</t>
    </r>
  </si>
  <si>
    <r>
      <rPr>
        <b/>
        <charset val="134"/>
        <color theme="1"/>
        <sz val="12"/>
        <rFont val="Times New Roman"/>
      </rPr>
      <t xml:space="preserve">6. </t>
    </r>
    <r>
      <rPr>
        <b/>
        <charset val="134"/>
        <color theme="1"/>
        <sz val="12"/>
        <rFont val="宋体"/>
      </rPr>
      <t>备注</t>
    </r>
  </si>
  <si>
    <r>
      <rPr>
        <b/>
        <charset val="134"/>
        <color theme="1"/>
        <sz val="12"/>
        <rFont val="Times New Roman"/>
      </rPr>
      <t>Remarks:</t>
    </r>
    <r>
      <rPr>
        <charset val="134"/>
        <color theme="1"/>
        <sz val="12"/>
        <rFont val="Times New Roman"/>
      </rPr>
      <t xml:space="preserve"> N/A</t>
    </r>
  </si>
  <si>
    <r>
      <rPr>
        <charset val="134"/>
        <color theme="1"/>
        <sz val="12"/>
        <rFont val="Times New Roman"/>
      </rPr>
      <t xml:space="preserve">(1) </t>
    </r>
    <r>
      <rPr>
        <charset val="134"/>
        <color theme="1"/>
        <sz val="12"/>
        <rFont val="宋体"/>
      </rPr>
      <t>品质数量异议</t>
    </r>
    <r>
      <rPr>
        <charset val="134"/>
        <color theme="1"/>
        <sz val="12"/>
        <rFont val="Times New Roman"/>
      </rPr>
      <t>:</t>
    </r>
    <r>
      <rPr>
        <charset val="134"/>
        <color theme="1"/>
        <sz val="12"/>
        <rFont val="宋体"/>
      </rPr>
      <t>如买方提出索赔</t>
    </r>
    <r>
      <rPr>
        <charset val="134"/>
        <color theme="1"/>
        <sz val="12"/>
        <rFont val="Times New Roman"/>
      </rPr>
      <t>,</t>
    </r>
    <r>
      <rPr>
        <charset val="134"/>
        <color theme="1"/>
        <sz val="12"/>
        <rFont val="宋体"/>
      </rPr>
      <t>凡属品质异议须于货到目的港口之日起三个月内提出</t>
    </r>
    <r>
      <rPr>
        <charset val="134"/>
        <color theme="1"/>
        <sz val="12"/>
        <rFont val="Times New Roman"/>
      </rPr>
      <t xml:space="preserve">; </t>
    </r>
    <r>
      <rPr>
        <charset val="134"/>
        <color theme="1"/>
        <sz val="12"/>
        <rFont val="宋体"/>
      </rPr>
      <t>凡属数量异议须于货到目的港口之日起一周内提出</t>
    </r>
    <r>
      <rPr>
        <charset val="134"/>
        <color theme="1"/>
        <sz val="12"/>
        <rFont val="Times New Roman"/>
      </rPr>
      <t xml:space="preserve">, </t>
    </r>
    <r>
      <rPr>
        <charset val="134"/>
        <color theme="1"/>
        <sz val="12"/>
        <rFont val="宋体"/>
      </rPr>
      <t>对所装运货物所提任何异议属于保险公司或轮船公司以及其他有关运输机构或邮递机构所负责者</t>
    </r>
    <r>
      <rPr>
        <charset val="134"/>
        <color theme="1"/>
        <sz val="12"/>
        <rFont val="Times New Roman"/>
      </rPr>
      <t xml:space="preserve">, </t>
    </r>
    <r>
      <rPr>
        <charset val="134"/>
        <color theme="1"/>
        <sz val="12"/>
        <rFont val="宋体"/>
      </rPr>
      <t>售方将不负任何责任</t>
    </r>
    <r>
      <rPr>
        <charset val="134"/>
        <color theme="1"/>
        <sz val="12"/>
        <rFont val="Times New Roman"/>
      </rPr>
      <t xml:space="preserve">.
In case of quality discrepancy, claim should be filed by the buyers within 3 months after the arrival of the goods at the port of destination, while of quantity discrepancy, claim should be filed by the buyers within 7 days after the arrival of the goods at the port of destination. It is understood that the Sellers shall not be liable for any discrepancy of the goods shipped due to causes for which Insurance Company, Shipping Company, other transportation, organization or Post Office are liable.</t>
    </r>
  </si>
  <si>
    <t>总金额</t>
  </si>
  <si>
    <r>
      <rPr>
        <charset val="134"/>
        <color theme="1"/>
        <sz val="12"/>
        <rFont val="Times New Roman"/>
      </rPr>
      <t xml:space="preserve">(2) </t>
    </r>
    <r>
      <rPr>
        <charset val="134"/>
        <color theme="1"/>
        <sz val="12"/>
        <rFont val="宋体"/>
      </rPr>
      <t>本合同所述全部或部分商品</t>
    </r>
    <r>
      <rPr>
        <charset val="134"/>
        <color theme="1"/>
        <sz val="12"/>
        <rFont val="Times New Roman"/>
      </rPr>
      <t>,</t>
    </r>
    <r>
      <rPr>
        <charset val="134"/>
        <color theme="1"/>
        <sz val="12"/>
        <rFont val="宋体"/>
      </rPr>
      <t>如因人力不可抗拒的原因</t>
    </r>
    <r>
      <rPr>
        <charset val="134"/>
        <color theme="1"/>
        <sz val="12"/>
        <rFont val="Times New Roman"/>
      </rPr>
      <t>,</t>
    </r>
    <r>
      <rPr>
        <charset val="134"/>
        <color theme="1"/>
        <sz val="12"/>
        <rFont val="宋体"/>
      </rPr>
      <t>以致不能履约或延迟交货</t>
    </r>
    <r>
      <rPr>
        <charset val="134"/>
        <color theme="1"/>
        <sz val="12"/>
        <rFont val="Times New Roman"/>
      </rPr>
      <t>,</t>
    </r>
    <r>
      <rPr>
        <charset val="134"/>
        <color theme="1"/>
        <sz val="12"/>
        <rFont val="宋体"/>
      </rPr>
      <t>售方</t>
    </r>
    <r>
      <rPr>
        <charset val="134"/>
        <color theme="1"/>
        <sz val="12"/>
        <rFont val="Times New Roman"/>
      </rPr>
      <t xml:space="preserve"> </t>
    </r>
    <r>
      <rPr>
        <charset val="134"/>
        <color theme="1"/>
        <sz val="12"/>
        <rFont val="宋体"/>
      </rPr>
      <t>概不负责</t>
    </r>
    <r>
      <rPr>
        <charset val="134"/>
        <color theme="1"/>
        <sz val="12"/>
        <rFont val="Times New Roman"/>
      </rPr>
      <t xml:space="preserve">.
The Sellers shall not be held liable for failure or delay in delivery of the entire lot or a portion of the goods under this Sales Contract on consequence ofany Force Major incidents.</t>
    </r>
  </si>
  <si>
    <t>床垫总金额</t>
  </si>
  <si>
    <r>
      <t>30%</t>
    </r>
    <r>
      <rPr>
        <charset val="134"/>
        <color theme="1"/>
        <sz val="12"/>
        <rFont val="宋体"/>
      </rPr>
      <t>预付款</t>
    </r>
  </si>
  <si>
    <r>
      <rPr>
        <charset val="134"/>
        <color theme="1"/>
        <sz val="12"/>
        <rFont val="Times New Roman"/>
      </rPr>
      <t xml:space="preserve">(3) </t>
    </r>
    <r>
      <rPr>
        <charset val="134"/>
        <color theme="1"/>
        <sz val="12"/>
        <rFont val="宋体"/>
      </rPr>
      <t>仲裁</t>
    </r>
    <r>
      <rPr>
        <charset val="134"/>
        <color theme="1"/>
        <sz val="12"/>
        <rFont val="Times New Roman"/>
      </rPr>
      <t xml:space="preserve">: </t>
    </r>
    <r>
      <rPr>
        <charset val="134"/>
        <color theme="1"/>
        <sz val="12"/>
        <rFont val="宋体"/>
      </rPr>
      <t>凡因执行本合同或于本合同有关事项所发生的一切争执</t>
    </r>
    <r>
      <rPr>
        <charset val="134"/>
        <color theme="1"/>
        <sz val="12"/>
        <rFont val="Times New Roman"/>
      </rPr>
      <t>,</t>
    </r>
    <r>
      <rPr>
        <charset val="134"/>
        <color theme="1"/>
        <sz val="12"/>
        <rFont val="宋体"/>
      </rPr>
      <t>应由双方通过友好协商解决</t>
    </r>
    <r>
      <rPr>
        <charset val="134"/>
        <color theme="1"/>
        <sz val="12"/>
        <rFont val="Times New Roman"/>
      </rPr>
      <t xml:space="preserve">. </t>
    </r>
    <r>
      <rPr>
        <charset val="134"/>
        <color theme="1"/>
        <sz val="12"/>
        <rFont val="宋体"/>
      </rPr>
      <t>如果不能协商解决时</t>
    </r>
    <r>
      <rPr>
        <charset val="134"/>
        <color theme="1"/>
        <sz val="12"/>
        <rFont val="Times New Roman"/>
      </rPr>
      <t xml:space="preserve">, </t>
    </r>
    <r>
      <rPr>
        <charset val="134"/>
        <color theme="1"/>
        <sz val="12"/>
        <rFont val="宋体"/>
      </rPr>
      <t>则在被告国家根据被告仲裁机构的仲裁程序规则进行仲裁</t>
    </r>
    <r>
      <rPr>
        <charset val="134"/>
        <color theme="1"/>
        <sz val="12"/>
        <rFont val="Times New Roman"/>
      </rPr>
      <t>.</t>
    </r>
    <r>
      <rPr>
        <charset val="134"/>
        <color theme="1"/>
        <sz val="12"/>
        <rFont val="宋体"/>
      </rPr>
      <t>仲裁决定是终局的</t>
    </r>
    <r>
      <rPr>
        <charset val="134"/>
        <color theme="1"/>
        <sz val="12"/>
        <rFont val="Times New Roman"/>
      </rPr>
      <t>,</t>
    </r>
    <r>
      <rPr>
        <charset val="134"/>
        <color theme="1"/>
        <sz val="12"/>
        <rFont val="宋体"/>
      </rPr>
      <t>对双方具有同等的约束力</t>
    </r>
    <r>
      <rPr>
        <charset val="134"/>
        <color theme="1"/>
        <sz val="12"/>
        <rFont val="Times New Roman"/>
      </rPr>
      <t>.</t>
    </r>
    <r>
      <rPr>
        <charset val="134"/>
        <color theme="1"/>
        <sz val="12"/>
        <rFont val="宋体"/>
      </rPr>
      <t>仲裁费用除非仲裁机构另有决定外</t>
    </r>
    <r>
      <rPr>
        <charset val="134"/>
        <color theme="1"/>
        <sz val="12"/>
        <rFont val="Times New Roman"/>
      </rPr>
      <t xml:space="preserve">, </t>
    </r>
    <r>
      <rPr>
        <charset val="134"/>
        <color theme="1"/>
        <sz val="12"/>
        <rFont val="宋体"/>
      </rPr>
      <t>均由败诉一方负担</t>
    </r>
    <r>
      <rPr>
        <charset val="134"/>
        <color theme="1"/>
        <sz val="12"/>
        <rFont val="Times New Roman"/>
      </rPr>
      <t xml:space="preserve">.
Arbitration: All disputes in connection with this Contract or the execution thereof shall be settled by negotiation between two parties. If no settlement can be reached, the case in dispute shall then be submitted for arbitration in the country of defendant in accordance with the arbitration regulation of the arbitration organization of the defendant country. The decision made by the arbitration organization shall be taken as final and binding upon both parties. The arbitration expenses shall be borne by the losing party unless otherwise awarded by the arbitration.</t>
    </r>
  </si>
  <si>
    <t>沙发尾款</t>
  </si>
  <si>
    <t>尾款</t>
  </si>
  <si>
    <r>
      <rPr>
        <charset val="134"/>
        <color theme="1"/>
        <sz val="12"/>
        <rFont val="Times New Roman"/>
      </rPr>
      <t xml:space="preserve">(4) </t>
    </r>
    <r>
      <rPr>
        <charset val="134"/>
        <color theme="1"/>
        <sz val="12"/>
        <rFont val="宋体"/>
      </rPr>
      <t>买方收到本合同后立即签字盖章确认</t>
    </r>
    <r>
      <rPr>
        <charset val="134"/>
        <color theme="1"/>
        <sz val="12"/>
        <rFont val="Times New Roman"/>
      </rPr>
      <t>,</t>
    </r>
    <r>
      <rPr>
        <charset val="134"/>
        <color theme="1"/>
        <sz val="12"/>
        <rFont val="宋体"/>
      </rPr>
      <t>如买方对本合同有异议</t>
    </r>
    <r>
      <rPr>
        <charset val="134"/>
        <color theme="1"/>
        <sz val="12"/>
        <rFont val="Times New Roman"/>
      </rPr>
      <t>,</t>
    </r>
    <r>
      <rPr>
        <charset val="134"/>
        <color theme="1"/>
        <sz val="12"/>
        <rFont val="宋体"/>
      </rPr>
      <t>应于收到后一个工作日提出</t>
    </r>
    <r>
      <rPr>
        <charset val="134"/>
        <color theme="1"/>
        <sz val="12"/>
        <rFont val="Times New Roman"/>
      </rPr>
      <t xml:space="preserve">, </t>
    </r>
    <r>
      <rPr>
        <charset val="134"/>
        <color theme="1"/>
        <sz val="12"/>
        <rFont val="宋体"/>
      </rPr>
      <t>否则卖方认为买方已同意本合同所规定的各项条款</t>
    </r>
    <r>
      <rPr>
        <charset val="134"/>
        <color theme="1"/>
        <sz val="12"/>
        <rFont val="Times New Roman"/>
      </rPr>
      <t xml:space="preserve">.
The buyers are requested to sign and stamp on it and return one copy of this Sales Contract immediately after receipt of the same. Objection, if any, should be raise by the Buyers within one working day after the receipt of this Sales Contract, in the absence of which it is understood that the Buyers have accepted the terms and conditions ofthe Sales Contract.</t>
    </r>
  </si>
  <si>
    <r>
      <rPr>
        <b/>
        <charset val="134"/>
        <color theme="1"/>
        <sz val="12"/>
        <rFont val="宋体"/>
      </rPr>
      <t>卖方</t>
    </r>
    <r>
      <rPr>
        <b/>
        <charset val="134"/>
        <color theme="1"/>
        <sz val="12"/>
        <rFont val="Times New Roman"/>
      </rPr>
      <t xml:space="preserve">:
The Seller</t>
    </r>
  </si>
  <si>
    <r>
      <rPr>
        <b/>
        <charset val="134"/>
        <color theme="1"/>
        <sz val="12"/>
        <rFont val="宋体"/>
      </rPr>
      <t>买方</t>
    </r>
    <r>
      <rPr>
        <b/>
        <charset val="134"/>
        <color theme="1"/>
        <sz val="12"/>
        <rFont val="Times New Roman"/>
      </rPr>
      <t xml:space="preserve">:
The Buyer</t>
    </r>
  </si>
  <si>
    <t>HK GLOBAL TRADE CONSULTING LLC</t>
  </si>
  <si>
    <t>北京鸿坤环宇贸易咨询有限责任公司</t>
  </si>
  <si>
    <t>No.18 Xizhimenwai Street 14th Floor Unit 1708,</t>
  </si>
  <si>
    <r>
      <rPr>
        <charset val="134"/>
        <sz val="12"/>
        <rFont val="宋体"/>
      </rPr>
      <t>北京西城区西直门外大街</t>
    </r>
    <r>
      <rPr>
        <charset val="134"/>
        <sz val="12"/>
        <rFont val="Times New Roman"/>
      </rPr>
      <t>18</t>
    </r>
    <r>
      <rPr>
        <charset val="134"/>
        <sz val="12"/>
        <rFont val="宋体"/>
      </rPr>
      <t>号楼</t>
    </r>
    <r>
      <rPr>
        <charset val="134"/>
        <sz val="12"/>
        <rFont val="Times New Roman"/>
      </rPr>
      <t>14</t>
    </r>
    <r>
      <rPr>
        <charset val="134"/>
        <sz val="12"/>
        <rFont val="宋体"/>
      </rPr>
      <t>层</t>
    </r>
    <r>
      <rPr>
        <charset val="134"/>
        <sz val="12"/>
        <rFont val="Times New Roman"/>
      </rPr>
      <t>1</t>
    </r>
    <r>
      <rPr>
        <charset val="134"/>
        <sz val="12"/>
        <rFont val="宋体"/>
      </rPr>
      <t>单元</t>
    </r>
  </si>
  <si>
    <t>TEL: 010-6225-8188</t>
  </si>
  <si>
    <t>www.hongkunglobal.com</t>
  </si>
  <si>
    <t>COMMERCIAL INVOICE</t>
  </si>
  <si>
    <t>BUYER:</t>
  </si>
  <si>
    <t>INV#:</t>
  </si>
  <si>
    <t>ADD:</t>
  </si>
  <si>
    <t>Room 101A, 1/F., GenplasIndustrial Building, 56 Hoi YuenRoad,</t>
  </si>
  <si>
    <t>DATE:</t>
  </si>
  <si>
    <t>Kwun Tong, HONG KONG</t>
  </si>
  <si>
    <t>Zhao Haoyuan</t>
  </si>
  <si>
    <t>+852 3050 1949</t>
  </si>
  <si>
    <t>DINING CHAIR</t>
  </si>
  <si>
    <t>DINING TABLE</t>
  </si>
  <si>
    <t>BAR STOOL</t>
  </si>
  <si>
    <t>TV CABINET</t>
  </si>
  <si>
    <t>SOFA</t>
  </si>
  <si>
    <t>COFFEE TABLE</t>
  </si>
  <si>
    <t>LIVING ROOM SIDE TABLE</t>
  </si>
  <si>
    <t>FABRIC UPHOLSTERED BED BASE</t>
  </si>
  <si>
    <t>CANTILEVER UMBRELLA</t>
  </si>
  <si>
    <t>pcs</t>
  </si>
  <si>
    <t>STAINLESS‑STEEL STAIR RAILING</t>
  </si>
  <si>
    <t>kgs</t>
  </si>
  <si>
    <t>No.18 Xizhimenwai Street 14th Floor Unit 1708, Xicheng District, Beijing, China 100044</t>
  </si>
  <si>
    <t>PACKING LIST</t>
  </si>
  <si>
    <t>COMPANY:</t>
  </si>
  <si>
    <t xml:space="preserve">QUANTITY
(UNIT)</t>
  </si>
  <si>
    <t>PACKAGES</t>
  </si>
  <si>
    <t xml:space="preserve">G/W
(KG)</t>
  </si>
  <si>
    <t xml:space="preserve">N/W
(KG)</t>
  </si>
  <si>
    <t xml:space="preserve">VOLUME
(CBM)</t>
  </si>
  <si>
    <r>
      <rPr>
        <u/>
        <charset val="134"/>
        <sz val="10"/>
        <rFont val="黑体"/>
      </rPr>
      <t>中华人民共和国海关出口货物报关单</t>
    </r>
  </si>
  <si>
    <r>
      <rPr>
        <charset val="134"/>
        <sz val="10"/>
        <rFont val="宋体"/>
      </rPr>
      <t>预录入编号：</t>
    </r>
  </si>
  <si>
    <r>
      <rPr>
        <charset val="134"/>
        <sz val="10"/>
        <rFont val="宋体"/>
      </rPr>
      <t>海关编号：</t>
    </r>
  </si>
  <si>
    <r>
      <rPr>
        <charset val="134"/>
        <sz val="10"/>
        <rFont val="宋体"/>
      </rPr>
      <t>（</t>
    </r>
    <r>
      <rPr>
        <charset val="134"/>
        <sz val="10"/>
        <rFont val="Calibri"/>
      </rPr>
      <t>XX</t>
    </r>
    <r>
      <rPr>
        <charset val="134"/>
        <sz val="10"/>
        <rFont val="宋体"/>
      </rPr>
      <t>海关）</t>
    </r>
  </si>
  <si>
    <r>
      <rPr>
        <charset val="134"/>
        <sz val="10"/>
        <rFont val="宋体"/>
      </rPr>
      <t>页码</t>
    </r>
    <r>
      <rPr>
        <charset val="134"/>
        <sz val="10"/>
        <rFont val="Calibri"/>
      </rPr>
      <t>/</t>
    </r>
    <r>
      <rPr>
        <charset val="134"/>
        <sz val="10"/>
        <rFont val="宋体"/>
      </rPr>
      <t>页数</t>
    </r>
    <r>
      <rPr>
        <charset val="134"/>
        <sz val="10"/>
        <rFont val="Calibri"/>
      </rPr>
      <t>:</t>
    </r>
  </si>
  <si>
    <r>
      <rPr>
        <charset val="134"/>
        <sz val="10"/>
        <rFont val="宋体"/>
      </rPr>
      <t>境内发货人</t>
    </r>
  </si>
  <si>
    <r>
      <rPr>
        <charset val="134"/>
        <sz val="10"/>
        <rFont val="宋体"/>
      </rPr>
      <t>出境关别</t>
    </r>
  </si>
  <si>
    <r>
      <rPr>
        <charset val="134"/>
        <sz val="10"/>
        <rFont val="宋体"/>
      </rPr>
      <t>出口日期</t>
    </r>
  </si>
  <si>
    <r>
      <rPr>
        <charset val="134"/>
        <sz val="10"/>
        <rFont val="宋体"/>
      </rPr>
      <t>申报日期</t>
    </r>
  </si>
  <si>
    <r>
      <rPr>
        <charset val="134"/>
        <sz val="10"/>
        <rFont val="宋体"/>
      </rPr>
      <t>备案号</t>
    </r>
  </si>
  <si>
    <r>
      <rPr>
        <charset val="134"/>
        <sz val="10"/>
        <rFont val="宋体"/>
      </rPr>
      <t>北京鸿坤环宇贸易咨询有限责任公司</t>
    </r>
  </si>
  <si>
    <r>
      <rPr>
        <charset val="134"/>
        <sz val="10"/>
        <rFont val="宋体"/>
      </rPr>
      <t>境外收货人</t>
    </r>
  </si>
  <si>
    <r>
      <rPr>
        <charset val="134"/>
        <sz val="10"/>
        <rFont val="宋体"/>
      </rPr>
      <t>运输方式</t>
    </r>
  </si>
  <si>
    <r>
      <rPr>
        <charset val="134"/>
        <sz val="10"/>
        <rFont val="宋体"/>
      </rPr>
      <t>运输工具名称及航次号</t>
    </r>
  </si>
  <si>
    <r>
      <rPr>
        <charset val="134"/>
        <sz val="10"/>
        <rFont val="宋体"/>
      </rPr>
      <t>提运单号</t>
    </r>
  </si>
  <si>
    <r>
      <rPr>
        <charset val="134"/>
        <sz val="10"/>
        <rFont val="宋体"/>
      </rPr>
      <t>水路运输</t>
    </r>
  </si>
  <si>
    <r>
      <rPr>
        <charset val="134"/>
        <sz val="10"/>
        <rFont val="宋体"/>
      </rPr>
      <t>生产销售单位</t>
    </r>
  </si>
  <si>
    <r>
      <rPr>
        <charset val="134"/>
        <sz val="10"/>
        <rFont val="宋体"/>
      </rPr>
      <t>监管方式</t>
    </r>
  </si>
  <si>
    <r>
      <rPr>
        <charset val="134"/>
        <sz val="10"/>
        <rFont val="宋体"/>
      </rPr>
      <t>征免性质</t>
    </r>
  </si>
  <si>
    <r>
      <rPr>
        <charset val="134"/>
        <sz val="10"/>
        <rFont val="宋体"/>
      </rPr>
      <t>许可证号</t>
    </r>
  </si>
  <si>
    <r>
      <rPr>
        <charset val="134"/>
        <sz val="10"/>
        <rFont val="宋体"/>
      </rPr>
      <t>一般贸易</t>
    </r>
  </si>
  <si>
    <r>
      <rPr>
        <charset val="134"/>
        <sz val="10"/>
        <rFont val="宋体"/>
      </rPr>
      <t>一般征税</t>
    </r>
  </si>
  <si>
    <r>
      <rPr>
        <charset val="134"/>
        <sz val="10"/>
        <rFont val="宋体"/>
      </rPr>
      <t>合同协议号</t>
    </r>
  </si>
  <si>
    <r>
      <rPr>
        <charset val="134"/>
        <sz val="10"/>
        <rFont val="宋体"/>
      </rPr>
      <t>贸易国（地区）</t>
    </r>
  </si>
  <si>
    <r>
      <rPr>
        <charset val="134"/>
        <sz val="10"/>
        <rFont val="宋体"/>
      </rPr>
      <t>运抵国（地区）</t>
    </r>
  </si>
  <si>
    <r>
      <rPr>
        <charset val="134"/>
        <sz val="10"/>
        <rFont val="宋体"/>
      </rPr>
      <t>指运港</t>
    </r>
  </si>
  <si>
    <r>
      <rPr>
        <charset val="134"/>
        <sz val="10"/>
        <rFont val="宋体"/>
      </rPr>
      <t>离境口岸</t>
    </r>
  </si>
  <si>
    <r>
      <rPr>
        <charset val="134"/>
        <sz val="10"/>
        <rFont val="宋体"/>
      </rPr>
      <t>包装种类</t>
    </r>
  </si>
  <si>
    <r>
      <rPr>
        <charset val="134"/>
        <sz val="10"/>
        <rFont val="宋体"/>
      </rPr>
      <t>件数</t>
    </r>
  </si>
  <si>
    <r>
      <rPr>
        <charset val="134"/>
        <sz val="10"/>
        <rFont val="宋体"/>
      </rPr>
      <t>毛重（千克）</t>
    </r>
  </si>
  <si>
    <r>
      <rPr>
        <charset val="134"/>
        <sz val="10"/>
        <rFont val="宋体"/>
      </rPr>
      <t>净重（千克）</t>
    </r>
  </si>
  <si>
    <r>
      <rPr>
        <charset val="134"/>
        <sz val="10"/>
        <rFont val="宋体"/>
      </rPr>
      <t>成交方式</t>
    </r>
  </si>
  <si>
    <r>
      <rPr>
        <charset val="134"/>
        <sz val="10"/>
        <rFont val="宋体"/>
      </rPr>
      <t>运费</t>
    </r>
  </si>
  <si>
    <r>
      <rPr>
        <charset val="134"/>
        <sz val="10"/>
        <rFont val="宋体"/>
      </rPr>
      <t>保费</t>
    </r>
  </si>
  <si>
    <r>
      <rPr>
        <charset val="134"/>
        <sz val="10"/>
        <rFont val="宋体"/>
      </rPr>
      <t>杂费</t>
    </r>
  </si>
  <si>
    <r>
      <rPr>
        <charset val="134"/>
        <sz val="10"/>
        <rFont val="宋体"/>
      </rPr>
      <t>其他包装</t>
    </r>
    <r>
      <rPr>
        <charset val="134"/>
        <sz val="10"/>
        <rFont val="Calibri"/>
      </rPr>
      <t xml:space="preserve">   99</t>
    </r>
  </si>
  <si>
    <t>FOB</t>
  </si>
  <si>
    <r>
      <rPr>
        <charset val="134"/>
        <sz val="10"/>
        <rFont val="宋体"/>
      </rPr>
      <t>随附单证及编号</t>
    </r>
  </si>
  <si>
    <r>
      <rPr>
        <charset val="134"/>
        <sz val="10"/>
        <rFont val="宋体"/>
      </rPr>
      <t>标记唛码及备注</t>
    </r>
  </si>
  <si>
    <r>
      <rPr>
        <charset val="134"/>
        <sz val="10"/>
        <rFont val="宋体"/>
      </rPr>
      <t>项号</t>
    </r>
  </si>
  <si>
    <r>
      <rPr>
        <charset val="134"/>
        <sz val="10"/>
        <rFont val="宋体"/>
      </rPr>
      <t>商品编号</t>
    </r>
  </si>
  <si>
    <r>
      <rPr>
        <charset val="134"/>
        <sz val="10"/>
        <rFont val="宋体"/>
      </rPr>
      <t>商品名称及规格型号</t>
    </r>
  </si>
  <si>
    <r>
      <rPr>
        <charset val="134"/>
        <sz val="10"/>
        <rFont val="宋体"/>
      </rPr>
      <t>数量及单位</t>
    </r>
  </si>
  <si>
    <r>
      <rPr>
        <charset val="134"/>
        <sz val="10"/>
        <rFont val="宋体"/>
      </rPr>
      <t>单价</t>
    </r>
    <r>
      <rPr>
        <charset val="134"/>
        <sz val="10"/>
        <rFont val="Calibri"/>
      </rPr>
      <t>/</t>
    </r>
    <r>
      <rPr>
        <charset val="134"/>
        <sz val="10"/>
        <rFont val="宋体"/>
      </rPr>
      <t>总价</t>
    </r>
    <r>
      <rPr>
        <charset val="134"/>
        <sz val="10"/>
        <rFont val="Calibri"/>
      </rPr>
      <t>/</t>
    </r>
    <r>
      <rPr>
        <charset val="134"/>
        <sz val="10"/>
        <rFont val="宋体"/>
      </rPr>
      <t>币制</t>
    </r>
  </si>
  <si>
    <r>
      <rPr>
        <charset val="134"/>
        <sz val="10"/>
        <rFont val="宋体"/>
      </rPr>
      <t>原产国</t>
    </r>
    <r>
      <rPr>
        <charset val="134"/>
        <sz val="10"/>
        <rFont val="Calibri"/>
      </rPr>
      <t xml:space="preserve">
</t>
    </r>
    <r>
      <rPr>
        <charset val="134"/>
        <sz val="10"/>
        <rFont val="宋体"/>
      </rPr>
      <t>（地区）</t>
    </r>
  </si>
  <si>
    <r>
      <rPr>
        <charset val="134"/>
        <sz val="10"/>
        <rFont val="宋体"/>
      </rPr>
      <t>最终目的国</t>
    </r>
    <r>
      <rPr>
        <charset val="134"/>
        <sz val="10"/>
        <rFont val="Calibri"/>
      </rPr>
      <t xml:space="preserve">
</t>
    </r>
    <r>
      <rPr>
        <charset val="134"/>
        <sz val="10"/>
        <rFont val="宋体"/>
      </rPr>
      <t>（地区）</t>
    </r>
  </si>
  <si>
    <r>
      <rPr>
        <charset val="134"/>
        <sz val="10"/>
        <rFont val="宋体"/>
      </rPr>
      <t>境内货源地</t>
    </r>
  </si>
  <si>
    <r>
      <rPr>
        <charset val="134"/>
        <sz val="10"/>
        <rFont val="宋体"/>
      </rPr>
      <t>征免</t>
    </r>
  </si>
  <si>
    <t>KG</t>
  </si>
  <si>
    <t>USD</t>
  </si>
  <si>
    <r>
      <rPr>
        <charset val="134"/>
        <sz val="10"/>
        <rFont val="宋体"/>
      </rPr>
      <t>报关人员</t>
    </r>
  </si>
  <si>
    <r>
      <rPr>
        <charset val="134"/>
        <sz val="10"/>
        <rFont val="宋体"/>
      </rPr>
      <t>电话</t>
    </r>
  </si>
  <si>
    <r>
      <rPr>
        <charset val="134"/>
        <sz val="10"/>
        <rFont val="宋体"/>
      </rPr>
      <t>兹声明以上内容承担如实申报、依法纳税之法律责任</t>
    </r>
  </si>
  <si>
    <r>
      <rPr>
        <charset val="134"/>
        <sz val="10"/>
        <rFont val="宋体"/>
      </rPr>
      <t>海关批注及签章</t>
    </r>
  </si>
  <si>
    <r>
      <rPr>
        <charset val="134"/>
        <sz val="10"/>
        <rFont val="宋体"/>
      </rPr>
      <t>申报单位</t>
    </r>
  </si>
  <si>
    <r>
      <rPr>
        <charset val="134"/>
        <sz val="10"/>
        <rFont val="宋体"/>
      </rPr>
      <t>申请单位</t>
    </r>
    <r>
      <rPr>
        <charset val="134"/>
        <sz val="10"/>
        <rFont val="Calibri"/>
      </rPr>
      <t>(</t>
    </r>
    <r>
      <rPr>
        <charset val="134"/>
        <sz val="10"/>
        <rFont val="宋体"/>
      </rPr>
      <t>签章</t>
    </r>
    <r>
      <rPr>
        <charset val="134"/>
        <sz val="10"/>
        <rFont val="Calibri"/>
      </rPr>
      <t>)</t>
    </r>
  </si>
  <si>
    <t>品名</t>
  </si>
  <si>
    <t>申报要素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</si>
</sst>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164" formatCode="_(&quot;$&quot;* #,##0.00_);_(&quot;$&quot;* (#,##0.00);_(&quot;$&quot;* &quot;-&quot;??_);_(@_)"/>
    <numFmt numFmtId="165" formatCode="[$-409]dd-mmm-yy;@"/>
    <numFmt numFmtId="166" formatCode="_ * #,##0.00_ ;_ * -#,##0.00_ ;_ * &quot;-&quot;??_ ;_ @_ "/>
    <numFmt numFmtId="167" formatCode="#,##0_ "/>
    <numFmt numFmtId="168" formatCode="#,##0.00_ "/>
    <numFmt numFmtId="169" formatCode="$#,##0.00;-$#,##0.00"/>
    <numFmt numFmtId="170" formatCode="#,##0.0000_ "/>
    <numFmt numFmtId="171" formatCode="&quot;￥&quot;#,##0.00;&quot;￥&quot;-#,##0.00"/>
    <numFmt numFmtId="172" formatCode="0.00_ "/>
    <numFmt numFmtId="173" formatCode="0_ "/>
    <numFmt numFmtId="174" formatCode="0.000_ "/>
  </numFmts>
  <fonts count="41" x14ac:knownFonts="1">
    <font>
      <color theme="1"/>
      <family val="2"/>
      <scheme val="minor"/>
      <sz val="11"/>
      <name val="Calibri"/>
    </font>
    <font>
      <charset val="134"/>
      <color theme="1"/>
      <sz val="12"/>
      <name val="Times New Roman"/>
    </font>
    <font>
      <charset val="134"/>
      <color theme="1"/>
      <sz val="12"/>
      <name val="Helvetica"/>
    </font>
    <font>
      <b/>
      <charset val="134"/>
      <color theme="1"/>
      <sz val="26"/>
      <name val="宋体"/>
    </font>
    <font>
      <b/>
      <charset val="134"/>
      <color theme="1"/>
      <sz val="26"/>
      <name val="Times New Roman"/>
    </font>
    <font>
      <charset val="134"/>
      <color theme="1"/>
      <sz val="12"/>
      <name val="宋体"/>
    </font>
    <font>
      <charset val="134"/>
      <sz val="12"/>
      <name val="Times New Roman"/>
    </font>
    <font>
      <b/>
      <charset val="134"/>
      <color theme="1"/>
      <sz val="12"/>
      <name val="Times New Roman"/>
    </font>
    <font>
      <b/>
      <charset val="134"/>
      <color theme="1"/>
      <sz val="12"/>
      <name val="宋体"/>
    </font>
    <font>
      <charset val="134"/>
      <sz val="10"/>
      <name val="Trebuchet MS"/>
    </font>
    <font>
      <b/>
      <charset val="134"/>
      <sz val="12"/>
      <name val="Times New Roman"/>
    </font>
    <font>
      <charset val="134"/>
      <sz val="12"/>
      <name val="宋体"/>
    </font>
    <font>
      <charset val="134"/>
      <color rgb="FFFF0000"/>
      <sz val="12"/>
      <name val="宋体"/>
    </font>
    <font>
      <charset val="134"/>
      <color rgb="FFFF0000"/>
      <sz val="12"/>
      <name val="Times New Roman"/>
    </font>
    <font>
      <charset val="134"/>
      <sz val="11"/>
      <name val="Times New Roman"/>
    </font>
    <font>
      <charset val="134"/>
      <color theme="1"/>
      <sz val="11"/>
      <name val="Times New Roman"/>
    </font>
    <font>
      <charset val="134"/>
      <color theme="1"/>
      <sz val="10"/>
      <name val="Times New Roman"/>
    </font>
    <font>
      <charset val="134"/>
      <sz val="10"/>
      <name val="Times New Roman"/>
    </font>
    <font>
      <charset val="134"/>
      <color rgb="FFFF0000"/>
      <sz val="10"/>
      <name val="Times New Roman"/>
    </font>
    <font>
      <charset val="134"/>
      <color rgb="FFFF0000"/>
      <sz val="10"/>
      <name val="宋体"/>
    </font>
    <font>
      <charset val="134"/>
      <color rgb="FF0070C0"/>
      <sz val="10"/>
      <name val="宋体"/>
    </font>
    <font>
      <charset val="134"/>
      <color rgb="FF0070C0"/>
      <sz val="10"/>
      <name val="Times New Roman"/>
    </font>
    <font>
      <b/>
      <charset val="134"/>
      <sz val="22"/>
      <name val="Times New Roman"/>
    </font>
    <font>
      <b/>
      <charset val="134"/>
      <sz val="22"/>
      <name val="宋体"/>
    </font>
    <font>
      <u/>
      <charset val="134"/>
      <color indexed="12"/>
      <sz val="12"/>
      <name val="Times New Roman"/>
    </font>
    <font>
      <b/>
      <charset val="134"/>
      <sz val="18"/>
      <name val="Times New Roman"/>
    </font>
    <font>
      <b/>
      <charset val="134"/>
      <sz val="16"/>
      <name val="Times New Roman"/>
    </font>
    <font>
      <charset val="134"/>
      <color theme="1"/>
      <sz val="10"/>
      <name val="Calibri"/>
    </font>
    <font>
      <charset val="134"/>
      <color rgb="FFFF0000"/>
      <sz val="10"/>
      <name val="Calibri"/>
    </font>
    <font>
      <u/>
      <charset val="134"/>
      <sz val="10"/>
      <name val="Calibri"/>
    </font>
    <font>
      <charset val="134"/>
      <sz val="10"/>
      <name val="Calibri"/>
    </font>
    <font>
      <charset val="134"/>
      <sz val="10"/>
      <name val="宋体"/>
    </font>
    <font>
      <charset val="134"/>
      <color rgb="FFFF0000"/>
      <sz val="8"/>
      <name val="Calibri"/>
    </font>
    <font>
      <charset val="134"/>
      <color theme="1"/>
      <sz val="8"/>
      <name val="Calibri"/>
    </font>
    <font>
      <charset val="134"/>
      <sz val="8"/>
      <name val="Calibri"/>
    </font>
    <font>
      <charset val="134"/>
      <sz val="8"/>
      <name val="Times New Roman"/>
    </font>
    <font>
      <charset val="134"/>
      <sz val="8"/>
      <name val="宋体"/>
    </font>
    <font>
      <charset val="134"/>
      <color theme="1"/>
      <sz val="9"/>
      <name val="Calibri"/>
    </font>
    <font>
      <charset val="134"/>
      <color theme="1"/>
      <sz val="9"/>
      <name val="宋体"/>
    </font>
    <font>
      <charset val="134"/>
      <color theme="1"/>
      <sz val="8"/>
      <name val="宋体"/>
    </font>
    <font>
      <charset val="134"/>
      <color theme="1"/>
      <scheme val="minor"/>
      <sz val="8"/>
      <name val="Trebuchet MS"/>
    </font>
  </fonts>
  <fills count="3">
    <fill>
      <patternFill patternType="none"/>
    </fill>
    <fill>
      <patternFill patternType="gray125"/>
    </fill>
    <fill>
      <patternFill patternType="solid">
        <fgColor rgb="FFFFFF00"/>
        <bgColor indexed="64"/>
      </patternFill>
    </fill>
  </fills>
  <borders count="35">
    <border>
      <left/>
      <right/>
      <top/>
      <bottom/>
      <diagonal/>
    </border>
    <border>
      <left style="thin"/>
      <right style="thin"/>
      <top style="thin"/>
      <bottom style="thin"/>
      <diagonal/>
    </border>
    <border>
      <left style="thin"/>
      <right style="thin"/>
      <top/>
      <bottom style="thin"/>
      <diagonal/>
    </border>
    <border>
      <left style="thin"/>
      <right/>
      <top style="thin"/>
      <bottom style="thin"/>
      <diagonal/>
    </border>
    <border>
      <left/>
      <right/>
      <top style="thin"/>
      <bottom style="thin"/>
      <diagonal/>
    </border>
    <border>
      <left/>
      <right style="thin"/>
      <top style="thin"/>
      <bottom style="thin"/>
      <diagonal/>
    </border>
    <border>
      <left style="medium"/>
      <right/>
      <top style="medium"/>
      <bottom style="medium"/>
      <diagonal/>
    </border>
    <border>
      <left/>
      <right/>
      <top style="medium"/>
      <bottom style="mediu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thin"/>
      <right/>
      <top style="medium"/>
      <bottom/>
      <diagonal/>
    </border>
    <border>
      <left/>
      <right style="thin"/>
      <top style="medium"/>
      <bottom/>
      <diagonal/>
    </border>
    <border>
      <left style="medium"/>
      <right/>
      <top/>
      <bottom style="medium"/>
      <diagonal/>
    </border>
    <border>
      <left/>
      <right/>
      <top/>
      <bottom style="medium"/>
      <diagonal/>
    </border>
    <border>
      <left style="thin"/>
      <right/>
      <top/>
      <bottom/>
      <diagonal/>
    </border>
    <border>
      <left style="thin"/>
      <right/>
      <top/>
      <bottom style="medium"/>
      <diagonal/>
    </border>
    <border>
      <left/>
      <right style="thin"/>
      <top/>
      <bottom style="medium"/>
      <diagonal/>
    </border>
    <border>
      <left/>
      <right style="medium"/>
      <top/>
      <bottom style="medium"/>
      <diagonal/>
    </border>
    <border>
      <left/>
      <right style="thin"/>
      <top/>
      <bottom/>
      <diagonal/>
    </border>
    <border>
      <left style="medium"/>
      <right/>
      <top/>
      <bottom style="thin"/>
      <diagonal/>
    </border>
    <border>
      <left/>
      <right/>
      <top/>
      <bottom style="thin"/>
      <diagonal/>
    </border>
    <border>
      <left style="thin"/>
      <right/>
      <top/>
      <bottom style="thin"/>
      <diagonal/>
    </border>
    <border>
      <left/>
      <right style="thin"/>
      <top/>
      <bottom style="thin"/>
      <diagonal/>
    </border>
    <border>
      <left/>
      <right style="medium"/>
      <top/>
      <bottom style="thin"/>
      <diagonal/>
    </border>
    <border>
      <left style="medium"/>
      <right style="thin"/>
      <top style="thin"/>
      <bottom style="thin"/>
      <diagonal/>
    </border>
    <border>
      <left style="thin"/>
      <right style="medium"/>
      <top style="thin"/>
      <bottom style="thin"/>
      <diagonal/>
    </border>
    <border>
      <left style="medium"/>
      <right/>
      <top style="thin"/>
      <bottom style="medium"/>
      <diagonal/>
    </border>
    <border>
      <left style="thin"/>
      <right style="thin"/>
      <top style="thin"/>
      <bottom style="medium"/>
      <diagonal/>
    </border>
    <border>
      <left/>
      <right/>
      <top style="thin"/>
      <bottom style="medium"/>
      <diagonal/>
    </border>
    <border>
      <left style="thin"/>
      <right style="thin"/>
      <top style="medium"/>
      <bottom style="medium"/>
      <diagonal/>
    </border>
    <border>
      <left/>
      <right style="medium"/>
      <top style="medium"/>
      <bottom style="medium"/>
      <diagonal/>
    </border>
    <border>
      <left/>
      <right style="thin"/>
      <top style="medium"/>
      <bottom style="medium"/>
      <diagonal/>
    </border>
  </borders>
  <cellStyleXfs count="1">
    <xf numFmtId="0" fontId="0" fillId="0" borderId="0"/>
  </cellStyleXfs>
  <cellXfs count="201">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horizontal="center" vertical="top" wrapText="1"/>
    </xf>
    <xf numFmtId="0" fontId="4" fillId="0" borderId="0" xfId="0" applyFont="1" applyAlignment="1">
      <alignment horizontal="center" vertical="top"/>
    </xf>
    <xf numFmtId="0" fontId="1" fillId="0" borderId="0" xfId="0" applyFont="1" applyAlignment="1">
      <alignment horizontal="left" vertical="center"/>
    </xf>
    <xf numFmtId="0" fontId="5" fillId="0" borderId="0" xfId="0" applyFont="1" applyAlignment="1">
      <alignment horizontal="right" vertical="center" wrapText="1"/>
    </xf>
    <xf numFmtId="164" fontId="6" fillId="0" borderId="0" xfId="0" applyNumberFormat="1" applyFont="1" applyAlignment="1">
      <alignment horizontal="left" vertical="center"/>
    </xf>
    <xf numFmtId="165" fontId="6" fillId="0" borderId="0" xfId="0" applyNumberFormat="1" applyFont="1" applyAlignment="1">
      <alignment horizontal="left" vertical="center"/>
    </xf>
    <xf numFmtId="0" fontId="1" fillId="0" borderId="0" xfId="0" applyFont="1" applyAlignment="1">
      <alignment horizontal="right" vertical="center"/>
    </xf>
    <xf numFmtId="0" fontId="7" fillId="0" borderId="0" xfId="0" applyFont="1" applyAlignment="1">
      <alignment vertical="center" wrapText="1"/>
    </xf>
    <xf numFmtId="0" fontId="5" fillId="0" borderId="0" xfId="0" applyFont="1" applyAlignment="1">
      <alignment vertical="center" wrapText="1"/>
    </xf>
    <xf numFmtId="0" fontId="1" fillId="0" borderId="0" xfId="0" applyFont="1" applyAlignment="1">
      <alignment vertical="center" wrapText="1"/>
    </xf>
    <xf numFmtId="0" fontId="7" fillId="0" borderId="0" xfId="0" applyFont="1" applyAlignment="1">
      <alignment vertical="center"/>
    </xf>
    <xf numFmtId="0" fontId="8" fillId="0" borderId="0" xfId="0" applyFont="1" applyAlignment="1">
      <alignment vertical="center" wrapText="1"/>
    </xf>
    <xf numFmtId="0" fontId="6" fillId="0" borderId="0" xfId="0" applyFont="1" applyAlignment="1">
      <alignment vertical="center"/>
    </xf>
    <xf numFmtId="0" fontId="1" fillId="0" borderId="0" xfId="0" applyFont="1" applyAlignment="1">
      <alignment horizontal="left" vertical="center" wrapText="1"/>
    </xf>
    <xf numFmtId="0" fontId="9" fillId="0" borderId="0" xfId="0" applyFont="1"/>
    <xf numFmtId="0" fontId="10" fillId="0" borderId="1" xfId="0" applyFont="1" applyBorder="1" applyAlignment="1">
      <alignment horizontal="center" vertical="center"/>
    </xf>
    <xf numFmtId="0" fontId="7" fillId="0" borderId="1" xfId="0" applyFont="1" applyBorder="1" applyAlignment="1">
      <alignment horizontal="center" vertical="center"/>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6" fillId="0" borderId="0" xfId="0" applyFont="1" applyAlignment="1">
      <alignment vertical="center" wrapText="1"/>
    </xf>
    <xf numFmtId="166" fontId="9" fillId="0" borderId="0" xfId="0" applyNumberFormat="1" applyFont="1"/>
    <xf numFmtId="0" fontId="14" fillId="0" borderId="2" xfId="0" applyFont="1" applyBorder="1" applyAlignment="1">
      <alignment horizontal="center" vertical="center" wrapText="1"/>
    </xf>
    <xf numFmtId="167" fontId="1" fillId="0" borderId="1" xfId="0" applyNumberFormat="1" applyFont="1" applyBorder="1" applyAlignment="1">
      <alignment horizontal="center" vertical="center"/>
    </xf>
    <xf numFmtId="168" fontId="6" fillId="0" borderId="3" xfId="0" applyNumberFormat="1" applyFont="1" applyBorder="1" applyAlignment="1">
      <alignment horizontal="center" vertical="center" wrapText="1"/>
    </xf>
    <xf numFmtId="169" fontId="15" fillId="0" borderId="1" xfId="0" applyNumberFormat="1" applyFont="1" applyBorder="1" applyAlignment="1">
      <alignment horizontal="center" vertical="center"/>
    </xf>
    <xf numFmtId="168" fontId="16" fillId="0" borderId="1" xfId="0" applyNumberFormat="1" applyFont="1" applyBorder="1" applyAlignment="1">
      <alignment horizontal="center" vertical="center"/>
    </xf>
    <xf numFmtId="170" fontId="16" fillId="0" borderId="1" xfId="0" applyNumberFormat="1" applyFont="1" applyBorder="1" applyAlignment="1">
      <alignment horizontal="center" vertical="center"/>
    </xf>
    <xf numFmtId="168" fontId="17" fillId="0" borderId="1" xfId="0" applyNumberFormat="1" applyFont="1" applyBorder="1" applyAlignment="1">
      <alignment horizontal="center" vertical="center"/>
    </xf>
    <xf numFmtId="0" fontId="14" fillId="0" borderId="1" xfId="0" applyFont="1" applyBorder="1" applyAlignment="1">
      <alignment horizontal="center" vertical="center"/>
    </xf>
    <xf numFmtId="168" fontId="18" fillId="0" borderId="1" xfId="0" applyNumberFormat="1" applyFont="1" applyBorder="1" applyAlignment="1">
      <alignment horizontal="center" vertical="center"/>
    </xf>
    <xf numFmtId="170" fontId="18" fillId="0" borderId="1" xfId="0" applyNumberFormat="1" applyFont="1" applyBorder="1" applyAlignment="1">
      <alignment horizontal="center" vertical="center"/>
    </xf>
    <xf numFmtId="168" fontId="1" fillId="0" borderId="1" xfId="0" applyNumberFormat="1" applyFont="1" applyBorder="1" applyAlignment="1">
      <alignment horizontal="center" vertical="center"/>
    </xf>
    <xf numFmtId="0" fontId="7" fillId="0" borderId="3"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169" fontId="7" fillId="0" borderId="1" xfId="0" applyNumberFormat="1" applyFont="1" applyBorder="1" applyAlignment="1">
      <alignment horizontal="center" vertical="center"/>
    </xf>
    <xf numFmtId="168" fontId="19" fillId="0" borderId="1" xfId="0" applyNumberFormat="1" applyFont="1" applyBorder="1" applyAlignment="1">
      <alignment horizontal="center" vertical="center"/>
    </xf>
    <xf numFmtId="168" fontId="20" fillId="0" borderId="1" xfId="0" applyNumberFormat="1" applyFont="1" applyBorder="1" applyAlignment="1">
      <alignment horizontal="center" vertical="center"/>
    </xf>
    <xf numFmtId="168" fontId="21" fillId="0" borderId="1" xfId="0" applyNumberFormat="1" applyFont="1" applyBorder="1" applyAlignment="1">
      <alignment horizontal="center" vertical="center"/>
    </xf>
    <xf numFmtId="0" fontId="7" fillId="0" borderId="0" xfId="0" applyFont="1" applyAlignment="1">
      <alignment horizontal="left" vertical="center"/>
    </xf>
    <xf numFmtId="168" fontId="20" fillId="0" borderId="1" xfId="0" applyNumberFormat="1" applyFont="1" applyBorder="1" applyAlignment="1">
      <alignment horizontal="left" vertical="center"/>
    </xf>
    <xf numFmtId="0" fontId="10" fillId="0" borderId="0" xfId="0" applyFont="1" applyAlignment="1">
      <alignment vertical="center"/>
    </xf>
    <xf numFmtId="166" fontId="1" fillId="0" borderId="0" xfId="0" applyNumberFormat="1" applyFont="1" applyAlignment="1">
      <alignment vertical="center"/>
    </xf>
    <xf numFmtId="168" fontId="19" fillId="0" borderId="6" xfId="0" applyNumberFormat="1" applyFont="1" applyBorder="1" applyAlignment="1">
      <alignment horizontal="center" vertical="center"/>
    </xf>
    <xf numFmtId="168" fontId="18" fillId="0" borderId="7" xfId="0" applyNumberFormat="1" applyFont="1" applyBorder="1" applyAlignment="1">
      <alignment horizontal="center" vertical="center"/>
    </xf>
    <xf numFmtId="170" fontId="16" fillId="0" borderId="7" xfId="0" applyNumberFormat="1" applyFont="1" applyBorder="1" applyAlignment="1">
      <alignment horizontal="center" vertical="center"/>
    </xf>
    <xf numFmtId="0" fontId="5" fillId="0" borderId="1" xfId="0" applyFont="1" applyBorder="1" applyAlignment="1">
      <alignment vertical="center"/>
    </xf>
    <xf numFmtId="171" fontId="1" fillId="0" borderId="1" xfId="0" applyNumberFormat="1" applyFont="1" applyBorder="1" applyAlignment="1">
      <alignment vertical="center"/>
    </xf>
    <xf numFmtId="0" fontId="1" fillId="0" borderId="1" xfId="0" applyFont="1" applyBorder="1" applyAlignment="1">
      <alignment vertical="center"/>
    </xf>
    <xf numFmtId="164" fontId="6" fillId="0" borderId="0" xfId="0" applyNumberFormat="1" applyFont="1" applyAlignment="1">
      <alignment vertical="center"/>
    </xf>
    <xf numFmtId="0" fontId="22" fillId="0" borderId="0" xfId="0" applyFont="1" applyAlignment="1">
      <alignment horizontal="left" vertical="center" wrapText="1"/>
    </xf>
    <xf numFmtId="0" fontId="23" fillId="0" borderId="0" xfId="0" applyFont="1" applyAlignment="1">
      <alignment vertical="top"/>
    </xf>
    <xf numFmtId="14" fontId="6" fillId="0" borderId="0" xfId="0" applyNumberFormat="1" applyFont="1" applyAlignment="1">
      <alignment horizontal="right" vertical="center"/>
    </xf>
    <xf numFmtId="0" fontId="6" fillId="0" borderId="0" xfId="0" applyFont="1" applyAlignment="1">
      <alignment horizontal="left" vertical="center" wrapText="1"/>
    </xf>
    <xf numFmtId="0" fontId="6" fillId="0" borderId="0" xfId="0" applyFont="1" applyAlignment="1">
      <alignment horizontal="left" vertical="center"/>
    </xf>
    <xf numFmtId="0" fontId="11" fillId="0" borderId="0" xfId="0" applyFont="1" applyAlignment="1">
      <alignment horizontal="left" vertical="center"/>
    </xf>
    <xf numFmtId="0" fontId="24"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xf>
    <xf numFmtId="0" fontId="6" fillId="0" borderId="0" xfId="0" applyFont="1" applyAlignment="1">
      <alignment horizontal="right" vertical="center"/>
    </xf>
    <xf numFmtId="0" fontId="10" fillId="0" borderId="0" xfId="0" applyFont="1" applyAlignment="1">
      <alignment horizontal="center" vertical="center"/>
    </xf>
    <xf numFmtId="0" fontId="10" fillId="0" borderId="3" xfId="0" applyFont="1" applyBorder="1" applyAlignment="1">
      <alignment horizontal="center" vertical="center"/>
    </xf>
    <xf numFmtId="0" fontId="14" fillId="0" borderId="1" xfId="0" applyFont="1" applyBorder="1" applyAlignment="1">
      <alignment horizontal="center" vertical="center" wrapText="1"/>
    </xf>
    <xf numFmtId="0" fontId="10" fillId="0" borderId="4" xfId="0" applyFont="1" applyBorder="1" applyAlignment="1">
      <alignment horizontal="center" vertical="center"/>
    </xf>
    <xf numFmtId="0" fontId="10" fillId="0" borderId="5" xfId="0" applyFont="1" applyBorder="1" applyAlignment="1">
      <alignment horizontal="center" vertical="center"/>
    </xf>
    <xf numFmtId="169" fontId="10" fillId="0" borderId="1" xfId="0" applyNumberFormat="1" applyFont="1" applyBorder="1" applyAlignment="1">
      <alignment horizontal="center" vertical="center"/>
    </xf>
    <xf numFmtId="0" fontId="10" fillId="0" borderId="0" xfId="0"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11" fillId="0" borderId="0" xfId="0" applyFont="1" applyAlignment="1">
      <alignment horizontal="centerContinuous" vertical="center"/>
    </xf>
    <xf numFmtId="0" fontId="6" fillId="0" borderId="0" xfId="0" applyFont="1" applyAlignment="1">
      <alignment horizontal="centerContinuous" vertical="center"/>
    </xf>
    <xf numFmtId="164" fontId="6" fillId="0" borderId="0" xfId="0" applyNumberFormat="1" applyFont="1" applyAlignment="1">
      <alignment horizontal="centerContinuous" vertical="center"/>
    </xf>
    <xf numFmtId="0" fontId="22" fillId="0" borderId="0" xfId="0" applyFont="1" applyAlignment="1">
      <alignment horizontal="left" vertical="center"/>
    </xf>
    <xf numFmtId="0" fontId="26" fillId="0" borderId="0" xfId="0" applyFont="1" applyAlignment="1">
      <alignment horizontal="right" vertical="center"/>
    </xf>
    <xf numFmtId="164" fontId="6" fillId="0" borderId="0" xfId="0" applyNumberFormat="1" applyFont="1" applyAlignment="1">
      <alignment horizontal="right" vertical="center"/>
    </xf>
    <xf numFmtId="0" fontId="10" fillId="0" borderId="1" xfId="0" applyFont="1" applyBorder="1" applyAlignment="1">
      <alignment horizontal="center" vertical="center" wrapText="1"/>
    </xf>
    <xf numFmtId="0" fontId="10" fillId="0" borderId="3"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xf>
    <xf numFmtId="172" fontId="6" fillId="0" borderId="1" xfId="0" applyNumberFormat="1" applyFont="1" applyBorder="1" applyAlignment="1">
      <alignment horizontal="center" vertical="center"/>
    </xf>
    <xf numFmtId="173" fontId="10" fillId="0" borderId="1" xfId="0" applyNumberFormat="1" applyFont="1" applyBorder="1" applyAlignment="1">
      <alignment horizontal="center" vertical="center"/>
    </xf>
    <xf numFmtId="172" fontId="10" fillId="0" borderId="1" xfId="0" applyNumberFormat="1" applyFont="1" applyBorder="1" applyAlignment="1">
      <alignment horizontal="center" vertical="center"/>
    </xf>
    <xf numFmtId="172" fontId="6" fillId="0" borderId="0" xfId="0" applyNumberFormat="1" applyFont="1" applyAlignment="1">
      <alignment horizontal="center" vertical="center"/>
    </xf>
    <xf numFmtId="0" fontId="27" fillId="0" borderId="0" xfId="0" applyFont="1" applyAlignment="1">
      <alignment vertical="center"/>
    </xf>
    <xf numFmtId="0" fontId="27" fillId="0" borderId="0" xfId="0" applyFont="1" applyAlignment="1">
      <alignment horizontal="left" vertical="center"/>
    </xf>
    <xf numFmtId="0" fontId="28" fillId="0" borderId="0" xfId="0" applyFont="1" applyAlignment="1">
      <alignment vertical="center"/>
    </xf>
    <xf numFmtId="0" fontId="29" fillId="0" borderId="8" xfId="0" applyFont="1" applyBorder="1" applyAlignment="1">
      <alignment vertical="center"/>
    </xf>
    <xf numFmtId="0" fontId="29" fillId="0" borderId="9" xfId="0" applyFont="1" applyBorder="1" applyAlignment="1">
      <alignment vertical="center"/>
    </xf>
    <xf numFmtId="0" fontId="29" fillId="0" borderId="9" xfId="0" applyFont="1" applyBorder="1" applyAlignment="1">
      <alignment horizontal="left" vertical="center"/>
    </xf>
    <xf numFmtId="0" fontId="29" fillId="0" borderId="10" xfId="0" applyFont="1" applyBorder="1" applyAlignment="1">
      <alignment vertical="center"/>
    </xf>
    <xf numFmtId="0" fontId="30" fillId="0" borderId="11" xfId="0" applyFont="1" applyBorder="1" applyAlignment="1">
      <alignment vertical="center"/>
    </xf>
    <xf numFmtId="0" fontId="30" fillId="0" borderId="0" xfId="0" applyFont="1" applyAlignment="1">
      <alignment vertical="center"/>
    </xf>
    <xf numFmtId="0" fontId="30" fillId="0" borderId="0" xfId="0" applyFont="1" applyAlignment="1">
      <alignment horizontal="left" vertical="center"/>
    </xf>
    <xf numFmtId="0" fontId="27" fillId="0" borderId="12" xfId="0" applyFont="1" applyBorder="1" applyAlignment="1">
      <alignment vertical="center"/>
    </xf>
    <xf numFmtId="49" fontId="30" fillId="0" borderId="0" xfId="0" applyNumberFormat="1" applyFont="1" applyAlignment="1">
      <alignment vertical="center"/>
    </xf>
    <xf numFmtId="173" fontId="30" fillId="0" borderId="0" xfId="0" applyNumberFormat="1" applyFont="1" applyAlignment="1">
      <alignment vertical="center"/>
    </xf>
    <xf numFmtId="0" fontId="30" fillId="0" borderId="12" xfId="0" applyFont="1" applyBorder="1" applyAlignment="1">
      <alignment vertical="center"/>
    </xf>
    <xf numFmtId="0" fontId="30" fillId="0" borderId="8" xfId="0" applyFont="1" applyBorder="1" applyAlignment="1">
      <alignment vertical="center"/>
    </xf>
    <xf numFmtId="0" fontId="30" fillId="0" borderId="9" xfId="0" applyFont="1" applyBorder="1" applyAlignment="1">
      <alignment vertical="center"/>
    </xf>
    <xf numFmtId="0" fontId="30" fillId="0" borderId="13" xfId="0" applyFont="1" applyBorder="1" applyAlignment="1">
      <alignment horizontal="left" vertical="center"/>
    </xf>
    <xf numFmtId="0" fontId="30" fillId="0" borderId="13" xfId="0" applyFont="1" applyBorder="1" applyAlignment="1">
      <alignment vertical="center"/>
    </xf>
    <xf numFmtId="0" fontId="30" fillId="0" borderId="14" xfId="0" applyFont="1" applyBorder="1" applyAlignment="1">
      <alignment vertical="center"/>
    </xf>
    <xf numFmtId="0" fontId="30" fillId="0" borderId="10" xfId="0" applyFont="1" applyBorder="1" applyAlignment="1">
      <alignment vertical="center"/>
    </xf>
    <xf numFmtId="0" fontId="30" fillId="0" borderId="15" xfId="0" applyFont="1" applyBorder="1" applyAlignment="1">
      <alignment vertical="center"/>
    </xf>
    <xf numFmtId="0" fontId="30" fillId="0" borderId="16" xfId="0" applyFont="1" applyBorder="1" applyAlignment="1">
      <alignment vertical="center"/>
    </xf>
    <xf numFmtId="0" fontId="30" fillId="0" borderId="17" xfId="0" applyFont="1" applyBorder="1" applyAlignment="1">
      <alignment horizontal="left" vertical="center"/>
    </xf>
    <xf numFmtId="0" fontId="30" fillId="0" borderId="18" xfId="0" applyFont="1" applyBorder="1" applyAlignment="1">
      <alignment vertical="center"/>
    </xf>
    <xf numFmtId="0" fontId="30" fillId="0" borderId="19" xfId="0" applyFont="1" applyBorder="1" applyAlignment="1">
      <alignment vertical="center"/>
    </xf>
    <xf numFmtId="0" fontId="30" fillId="0" borderId="20" xfId="0" applyFont="1" applyBorder="1" applyAlignment="1">
      <alignment vertical="center"/>
    </xf>
    <xf numFmtId="0" fontId="30" fillId="0" borderId="17" xfId="0" applyFont="1" applyBorder="1" applyAlignment="1">
      <alignment vertical="center"/>
    </xf>
    <xf numFmtId="0" fontId="30" fillId="0" borderId="21" xfId="0" applyFont="1" applyBorder="1" applyAlignment="1">
      <alignment vertical="center"/>
    </xf>
    <xf numFmtId="0" fontId="30" fillId="0" borderId="0" xfId="0" applyFont="1" applyAlignment="1">
      <alignment vertical="center" wrapText="1"/>
    </xf>
    <xf numFmtId="0" fontId="30" fillId="2" borderId="11" xfId="0" applyFont="1" applyFill="1" applyBorder="1" applyAlignment="1">
      <alignment vertical="center"/>
    </xf>
    <xf numFmtId="0" fontId="30" fillId="2" borderId="0" xfId="0" applyFont="1" applyFill="1" applyAlignment="1">
      <alignment vertical="center"/>
    </xf>
    <xf numFmtId="0" fontId="31" fillId="0" borderId="17" xfId="0" applyFont="1" applyBorder="1" applyAlignment="1">
      <alignment vertical="center"/>
    </xf>
    <xf numFmtId="0" fontId="31" fillId="2" borderId="17" xfId="0" applyFont="1" applyFill="1" applyBorder="1" applyAlignment="1">
      <alignment vertical="center"/>
    </xf>
    <xf numFmtId="0" fontId="31" fillId="2" borderId="0" xfId="0" applyFont="1" applyFill="1" applyAlignment="1">
      <alignment vertical="center"/>
    </xf>
    <xf numFmtId="0" fontId="30" fillId="0" borderId="22" xfId="0" applyFont="1" applyBorder="1" applyAlignment="1">
      <alignment vertical="center"/>
    </xf>
    <xf numFmtId="0" fontId="30" fillId="0" borderId="23" xfId="0" applyFont="1" applyBorder="1" applyAlignment="1">
      <alignment vertical="center"/>
    </xf>
    <xf numFmtId="0" fontId="30" fillId="2" borderId="24" xfId="0" applyFont="1" applyFill="1" applyBorder="1" applyAlignment="1">
      <alignment horizontal="left" vertical="center"/>
    </xf>
    <xf numFmtId="172" fontId="30" fillId="2" borderId="24" xfId="0" applyNumberFormat="1" applyFont="1" applyFill="1" applyBorder="1" applyAlignment="1">
      <alignment horizontal="left" vertical="center"/>
    </xf>
    <xf numFmtId="172" fontId="30" fillId="2" borderId="23" xfId="0" applyNumberFormat="1" applyFont="1" applyFill="1" applyBorder="1" applyAlignment="1">
      <alignment horizontal="left" vertical="center"/>
    </xf>
    <xf numFmtId="0" fontId="30" fillId="0" borderId="23" xfId="0" applyFont="1" applyBorder="1" applyAlignment="1">
      <alignment horizontal="left" vertical="center"/>
    </xf>
    <xf numFmtId="0" fontId="30" fillId="0" borderId="25" xfId="0" applyFont="1" applyBorder="1" applyAlignment="1">
      <alignment horizontal="left" vertical="center"/>
    </xf>
    <xf numFmtId="0" fontId="30" fillId="0" borderId="24" xfId="0" applyFont="1" applyBorder="1" applyAlignment="1">
      <alignment horizontal="left" vertical="center"/>
    </xf>
    <xf numFmtId="0" fontId="30" fillId="0" borderId="26" xfId="0" applyFont="1" applyBorder="1" applyAlignment="1">
      <alignment horizontal="left" vertical="center"/>
    </xf>
    <xf numFmtId="49" fontId="30" fillId="0" borderId="11" xfId="0" applyNumberFormat="1" applyFont="1" applyBorder="1" applyAlignment="1">
      <alignment vertical="center"/>
    </xf>
    <xf numFmtId="49" fontId="30" fillId="0" borderId="0" xfId="0" applyNumberFormat="1" applyFont="1" applyAlignment="1">
      <alignment horizontal="left" vertical="center"/>
    </xf>
    <xf numFmtId="172" fontId="30" fillId="0" borderId="0" xfId="0" applyNumberFormat="1" applyFont="1" applyAlignment="1">
      <alignment vertical="center"/>
    </xf>
    <xf numFmtId="0" fontId="30" fillId="0" borderId="9" xfId="0" applyFont="1" applyBorder="1" applyAlignment="1">
      <alignment horizontal="left" vertical="center"/>
    </xf>
    <xf numFmtId="0" fontId="30" fillId="0" borderId="16" xfId="0" applyFont="1" applyBorder="1" applyAlignment="1">
      <alignment horizontal="left" vertical="center"/>
    </xf>
    <xf numFmtId="0" fontId="30" fillId="0" borderId="16" xfId="0" applyFont="1" applyBorder="1" applyAlignment="1">
      <alignment vertical="center" wrapText="1"/>
    </xf>
    <xf numFmtId="0" fontId="27" fillId="0" borderId="9" xfId="0" applyFont="1" applyBorder="1" applyAlignment="1">
      <alignment vertical="center"/>
    </xf>
    <xf numFmtId="0" fontId="30" fillId="0" borderId="9" xfId="0" applyFont="1" applyBorder="1" applyAlignment="1">
      <alignment vertical="center" wrapText="1"/>
    </xf>
    <xf numFmtId="0" fontId="32" fillId="0" borderId="0" xfId="0" applyFont="1" applyAlignment="1">
      <alignment vertical="center"/>
    </xf>
    <xf numFmtId="0" fontId="33" fillId="0" borderId="0" xfId="0" applyFont="1" applyAlignment="1">
      <alignment vertical="center"/>
    </xf>
    <xf numFmtId="0" fontId="34" fillId="0" borderId="27" xfId="0" applyFont="1" applyBorder="1" applyAlignment="1">
      <alignment horizontal="center" vertical="center"/>
    </xf>
    <xf numFmtId="0" fontId="35" fillId="0" borderId="1" xfId="0" applyFont="1" applyBorder="1" applyAlignment="1">
      <alignment horizontal="left" vertical="center"/>
    </xf>
    <xf numFmtId="0" fontId="36" fillId="0" borderId="1" xfId="0" applyFont="1" applyBorder="1" applyAlignment="1">
      <alignment horizontal="left" vertical="center"/>
    </xf>
    <xf numFmtId="0" fontId="35" fillId="0" borderId="1" xfId="0" applyFont="1" applyBorder="1" applyAlignment="1">
      <alignment horizontal="left" vertical="center" wrapText="1"/>
    </xf>
    <xf numFmtId="173" fontId="34" fillId="0" borderId="1" xfId="0" applyNumberFormat="1" applyFont="1" applyBorder="1" applyAlignment="1">
      <alignment horizontal="left" vertical="center" wrapText="1"/>
    </xf>
    <xf numFmtId="168" fontId="34" fillId="0" borderId="1" xfId="0" applyNumberFormat="1" applyFont="1" applyBorder="1" applyAlignment="1">
      <alignment horizontal="left" vertical="center" wrapText="1"/>
    </xf>
    <xf numFmtId="174" fontId="34" fillId="0" borderId="1" xfId="0" applyNumberFormat="1" applyFont="1" applyBorder="1" applyAlignment="1">
      <alignment horizontal="left" vertical="center" wrapText="1"/>
    </xf>
    <xf numFmtId="174" fontId="36" fillId="0" borderId="1" xfId="0" applyNumberFormat="1" applyFont="1" applyBorder="1" applyAlignment="1">
      <alignment horizontal="right" vertical="center" wrapText="1"/>
    </xf>
    <xf numFmtId="0" fontId="36" fillId="0" borderId="1" xfId="0" applyFont="1" applyBorder="1" applyAlignment="1">
      <alignment horizontal="right" vertical="center"/>
    </xf>
    <xf numFmtId="0" fontId="34" fillId="0" borderId="28" xfId="0" applyFont="1" applyBorder="1" applyAlignment="1">
      <alignment horizontal="right" vertical="center"/>
    </xf>
    <xf numFmtId="0" fontId="33" fillId="0" borderId="1" xfId="0" applyFont="1" applyBorder="1" applyAlignment="1">
      <alignment horizontal="left" vertical="center"/>
    </xf>
    <xf numFmtId="0" fontId="34" fillId="0" borderId="1" xfId="0" applyFont="1" applyBorder="1" applyAlignment="1">
      <alignment horizontal="left" vertical="center" wrapText="1"/>
    </xf>
    <xf numFmtId="0" fontId="37" fillId="0" borderId="1" xfId="0" applyFont="1" applyBorder="1" applyAlignment="1">
      <alignment horizontal="left" vertical="center" wrapText="1"/>
    </xf>
    <xf numFmtId="0" fontId="37" fillId="0" borderId="1" xfId="0" applyFont="1" applyBorder="1" applyAlignment="1">
      <alignment vertical="center" wrapText="1"/>
    </xf>
    <xf numFmtId="0" fontId="34" fillId="0" borderId="26" xfId="0" applyFont="1" applyBorder="1" applyAlignment="1">
      <alignment horizontal="right" vertical="center"/>
    </xf>
    <xf numFmtId="0" fontId="38" fillId="0" borderId="1" xfId="0" applyFont="1" applyBorder="1" applyAlignment="1">
      <alignment vertical="center" wrapText="1"/>
    </xf>
    <xf numFmtId="0" fontId="34" fillId="0" borderId="1" xfId="0" applyFont="1" applyBorder="1" applyAlignment="1">
      <alignment horizontal="left" vertical="center"/>
    </xf>
    <xf numFmtId="0" fontId="34" fillId="0" borderId="1" xfId="0" applyFont="1" applyBorder="1" applyAlignment="1">
      <alignment vertical="center" wrapText="1"/>
    </xf>
    <xf numFmtId="172" fontId="34" fillId="2" borderId="1" xfId="0" applyNumberFormat="1" applyFont="1" applyFill="1" applyBorder="1" applyAlignment="1">
      <alignment horizontal="left" vertical="center" wrapText="1"/>
    </xf>
    <xf numFmtId="174" fontId="34" fillId="0" borderId="1" xfId="0" applyNumberFormat="1" applyFont="1" applyBorder="1" applyAlignment="1">
      <alignment horizontal="right" vertical="center" wrapText="1"/>
    </xf>
    <xf numFmtId="0" fontId="34" fillId="0" borderId="1" xfId="0" applyFont="1" applyBorder="1" applyAlignment="1">
      <alignment horizontal="right" vertical="center"/>
    </xf>
    <xf numFmtId="0" fontId="34" fillId="0" borderId="29" xfId="0" applyFont="1" applyBorder="1" applyAlignment="1">
      <alignment horizontal="left" vertical="center"/>
    </xf>
    <xf numFmtId="0" fontId="34" fillId="0" borderId="30" xfId="0" applyFont="1" applyBorder="1" applyAlignment="1">
      <alignment vertical="center" wrapText="1"/>
    </xf>
    <xf numFmtId="0" fontId="37" fillId="0" borderId="31" xfId="0" applyFont="1" applyBorder="1" applyAlignment="1">
      <alignment vertical="center" wrapText="1"/>
    </xf>
    <xf numFmtId="0" fontId="34" fillId="0" borderId="31" xfId="0" applyFont="1" applyBorder="1" applyAlignment="1">
      <alignment horizontal="left" vertical="center"/>
    </xf>
    <xf numFmtId="173" fontId="34" fillId="0" borderId="31" xfId="0" applyNumberFormat="1" applyFont="1" applyBorder="1" applyAlignment="1">
      <alignment horizontal="left" vertical="center" wrapText="1"/>
    </xf>
    <xf numFmtId="172" fontId="34" fillId="2" borderId="31" xfId="0" applyNumberFormat="1" applyFont="1" applyFill="1" applyBorder="1" applyAlignment="1">
      <alignment horizontal="left" vertical="center" wrapText="1"/>
    </xf>
    <xf numFmtId="174" fontId="34" fillId="0" borderId="31" xfId="0" applyNumberFormat="1" applyFont="1" applyBorder="1" applyAlignment="1">
      <alignment horizontal="left" vertical="center" wrapText="1"/>
    </xf>
    <xf numFmtId="174" fontId="34" fillId="0" borderId="31" xfId="0" applyNumberFormat="1" applyFont="1" applyBorder="1" applyAlignment="1">
      <alignment horizontal="right" vertical="center" wrapText="1"/>
    </xf>
    <xf numFmtId="0" fontId="34" fillId="0" borderId="16" xfId="0" applyFont="1" applyBorder="1" applyAlignment="1">
      <alignment horizontal="right" vertical="center"/>
    </xf>
    <xf numFmtId="0" fontId="34" fillId="0" borderId="20" xfId="0" applyFont="1" applyBorder="1" applyAlignment="1">
      <alignment horizontal="right" vertical="center"/>
    </xf>
    <xf numFmtId="0" fontId="34" fillId="0" borderId="6" xfId="0" applyFont="1" applyBorder="1" applyAlignment="1">
      <alignment horizontal="left" vertical="center"/>
    </xf>
    <xf numFmtId="0" fontId="34" fillId="0" borderId="32" xfId="0" applyFont="1" applyBorder="1" applyAlignment="1">
      <alignment vertical="center" wrapText="1"/>
    </xf>
    <xf numFmtId="0" fontId="37" fillId="0" borderId="7" xfId="0" applyFont="1" applyBorder="1" applyAlignment="1">
      <alignment vertical="center" wrapText="1"/>
    </xf>
    <xf numFmtId="0" fontId="34" fillId="0" borderId="7" xfId="0" applyFont="1" applyBorder="1" applyAlignment="1">
      <alignment horizontal="left" vertical="center"/>
    </xf>
    <xf numFmtId="168" fontId="34" fillId="2" borderId="7" xfId="0" applyNumberFormat="1" applyFont="1" applyFill="1" applyBorder="1" applyAlignment="1">
      <alignment horizontal="left" vertical="center" wrapText="1"/>
    </xf>
    <xf numFmtId="168" fontId="34" fillId="0" borderId="7" xfId="0" applyNumberFormat="1" applyFont="1" applyBorder="1" applyAlignment="1">
      <alignment horizontal="left" vertical="center" wrapText="1"/>
    </xf>
    <xf numFmtId="174" fontId="34" fillId="0" borderId="7" xfId="0" applyNumberFormat="1" applyFont="1" applyBorder="1" applyAlignment="1">
      <alignment horizontal="left" vertical="center" wrapText="1"/>
    </xf>
    <xf numFmtId="174" fontId="34" fillId="0" borderId="7" xfId="0" applyNumberFormat="1" applyFont="1" applyBorder="1" applyAlignment="1">
      <alignment horizontal="right" vertical="center" wrapText="1"/>
    </xf>
    <xf numFmtId="0" fontId="34" fillId="0" borderId="7" xfId="0" applyFont="1" applyBorder="1" applyAlignment="1">
      <alignment horizontal="right" vertical="center"/>
    </xf>
    <xf numFmtId="0" fontId="34" fillId="0" borderId="33" xfId="0" applyFont="1" applyBorder="1" applyAlignment="1">
      <alignment horizontal="right" vertical="center"/>
    </xf>
    <xf numFmtId="0" fontId="30" fillId="0" borderId="6" xfId="0" applyFont="1" applyBorder="1" applyAlignment="1">
      <alignment vertical="center"/>
    </xf>
    <xf numFmtId="0" fontId="27" fillId="0" borderId="32" xfId="0" applyFont="1" applyBorder="1" applyAlignment="1">
      <alignment horizontal="left" vertical="center" wrapText="1"/>
    </xf>
    <xf numFmtId="0" fontId="30" fillId="0" borderId="7" xfId="0" applyFont="1" applyBorder="1" applyAlignment="1">
      <alignment horizontal="left" vertical="center"/>
    </xf>
    <xf numFmtId="0" fontId="30" fillId="0" borderId="7" xfId="0" applyFont="1" applyBorder="1" applyAlignment="1">
      <alignment horizontal="left" vertical="top" wrapText="1"/>
    </xf>
    <xf numFmtId="0" fontId="30" fillId="0" borderId="7" xfId="0" applyFont="1" applyBorder="1" applyAlignment="1">
      <alignment vertical="top" wrapText="1"/>
    </xf>
    <xf numFmtId="0" fontId="30" fillId="0" borderId="34" xfId="0" applyFont="1" applyBorder="1" applyAlignment="1">
      <alignment vertical="top" wrapText="1"/>
    </xf>
    <xf numFmtId="0" fontId="30" fillId="0" borderId="7" xfId="0" applyFont="1" applyBorder="1" applyAlignment="1">
      <alignment vertical="center"/>
    </xf>
    <xf numFmtId="0" fontId="30" fillId="0" borderId="33" xfId="0" applyFont="1" applyBorder="1" applyAlignment="1">
      <alignment vertical="center"/>
    </xf>
    <xf numFmtId="0" fontId="30" fillId="0" borderId="16" xfId="0" applyFont="1" applyBorder="1" applyAlignment="1">
      <alignment vertical="top" wrapText="1"/>
    </xf>
    <xf numFmtId="0" fontId="27" fillId="0" borderId="0" xfId="0" applyFont="1" applyAlignment="1">
      <alignment horizontal="left" vertical="top"/>
    </xf>
    <xf numFmtId="0" fontId="34" fillId="0" borderId="1" xfId="0" applyFont="1" applyBorder="1" applyAlignment="1">
      <alignment horizontal="left" vertical="top"/>
    </xf>
    <xf numFmtId="0" fontId="34" fillId="0" borderId="1" xfId="0" applyFont="1" applyBorder="1" applyAlignment="1">
      <alignment horizontal="left" vertical="top" wrapText="1"/>
    </xf>
    <xf numFmtId="0" fontId="39" fillId="0" borderId="1" xfId="0" applyFont="1" applyBorder="1" applyAlignment="1">
      <alignment horizontal="left" vertical="top" wrapText="1"/>
    </xf>
    <xf numFmtId="0" fontId="40" fillId="0" borderId="1" xfId="0" applyFont="1" applyBorder="1" applyAlignment="1">
      <alignment horizontal="left" vertical="top"/>
    </xf>
    <xf numFmtId="0" fontId="28" fillId="0" borderId="0" xfId="0" applyFont="1" applyAlignment="1">
      <alignment horizontal="left" vertical="top"/>
    </xf>
    <xf numFmtId="0" fontId="36" fillId="0" borderId="1" xfId="0" applyFont="1" applyBorder="1" applyAlignment="1">
      <alignment horizontal="left" vertical="top" wrapText="1"/>
    </xf>
    <xf numFmtId="0" fontId="36" fillId="0" borderId="1" xfId="0" applyFont="1" applyBorder="1" applyAlignment="1">
      <alignment horizontal="left" vertical="top"/>
    </xf>
    <xf numFmtId="0" fontId="40" fillId="0" borderId="1" xfId="0" applyFont="1" applyBorder="1" applyAlignment="1">
      <alignment horizontal="left" vertical="top" wrapText="1"/>
    </xf>
    <xf numFmtId="0" fontId="39" fillId="0" borderId="1"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6.xml"/><Relationship Id="rId5" Type="http://schemas.openxmlformats.org/officeDocument/2006/relationships/worksheet" Target="worksheets/sheet4.xml"/><Relationship Id="rId6" Type="http://schemas.openxmlformats.org/officeDocument/2006/relationships/worksheet" Target="worksheets/sheet3.xml"/><Relationship Id="rId7"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748665</xdr:colOff>
      <xdr:row>0</xdr:row>
      <xdr:rowOff>51435</xdr:rowOff>
    </xdr:from>
    <xdr:to>
      <xdr:col>5</xdr:col>
      <xdr:colOff>1302546</xdr:colOff>
      <xdr:row>0</xdr:row>
      <xdr:rowOff>552790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906780</xdr:colOff>
      <xdr:row>0</xdr:row>
      <xdr:rowOff>25400</xdr:rowOff>
    </xdr:from>
    <xdr:to>
      <xdr:col>6</xdr:col>
      <xdr:colOff>882651</xdr:colOff>
      <xdr:row>1</xdr:row>
      <xdr:rowOff>19390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xdr:colOff>
      <xdr:row>0</xdr:row>
      <xdr:rowOff>635</xdr:rowOff>
    </xdr:from>
    <xdr:to>
      <xdr:col>0</xdr:col>
      <xdr:colOff>569595</xdr:colOff>
      <xdr:row>1</xdr:row>
      <xdr:rowOff>248285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Vertex42">
  <a:themeElements>
    <a:clrScheme name="V42-ClassicBlue">
      <a:dk1>
        <a:sysClr val="windowText" lastClr="000000"/>
      </a:dk1>
      <a:lt1>
        <a:sysClr val="window" lastClr="FFFFFF"/>
      </a:lt1>
      <a:dk2>
        <a:srgbClr val="3A5D9C"/>
      </a:dk2>
      <a:lt2>
        <a:srgbClr val="EEECE2"/>
      </a:lt2>
      <a:accent1>
        <a:srgbClr val="3B4E87"/>
      </a:accent1>
      <a:accent2>
        <a:srgbClr val="C04E4E"/>
      </a:accent2>
      <a:accent3>
        <a:srgbClr val="3D8A16"/>
      </a:accent3>
      <a:accent4>
        <a:srgbClr val="7860B4"/>
      </a:accent4>
      <a:accent5>
        <a:srgbClr val="E68422"/>
      </a:accent5>
      <a:accent6>
        <a:srgbClr val="846648"/>
      </a:accent6>
      <a:hlink>
        <a:srgbClr val="4C92AE"/>
      </a:hlink>
      <a:folHlink>
        <a:srgbClr val="969696"/>
      </a:folHlink>
    </a:clrScheme>
    <a:fontScheme name="Vertex42">
      <a:majorFont>
        <a:latin typeface="Arial"/>
        <a:ea typeface=""/>
        <a:cs typeface=""/>
      </a:majorFont>
      <a:minorFont>
        <a:latin typeface="Trebuchet MS"/>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3.xml.rels><?xml version="1.0" encoding="UTF-8" standalone="yes"?>
<Relationships xmlns="http://schemas.openxmlformats.org/package/2006/relationships"><Relationship Id="rId1" Type="http://schemas.openxmlformats.org/officeDocument/2006/relationships/hyperlink" Target="http://www.hongkunglobal.com/" TargetMode="External"/><Relationship Id="rId2"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hyperlink" Target="http://www.hongkunglobal.com/" TargetMode="External"/><Relationship Id="rId2"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workbookViewId="0" showGridLines="0" zoomScale="115" zoomScaleNormal="100" view="pageBreakPreview">
      <selection activeCell="F27" sqref="F27"/>
    </sheetView>
  </sheetViews>
  <sheetFormatPr defaultRowHeight="15" outlineLevelRow="0" outlineLevelCol="7" x14ac:dyDescent="0" defaultColWidth="9.14285714285714"/>
  <cols>
    <col min="1" max="1" width="13.6285714285714" style="15" customWidth="1"/>
    <col min="2" max="2" width="38.6285714285714" style="15" customWidth="1"/>
    <col min="3" max="3" width="18.5047619047619" style="15" customWidth="1"/>
    <col min="4" max="4" width="15.1238095238095" style="15" customWidth="1"/>
    <col min="5" max="6" width="15.5047619047619" style="15" customWidth="1"/>
    <col min="7" max="7" width="23.2857142857143" style="53" customWidth="1"/>
    <col min="8" max="8" width="19.2857142857143" style="15" customWidth="1"/>
    <col min="9" max="9" width="22.5714285714286" style="15" customWidth="1"/>
    <col min="10" max="10" width="9.14285714285714" style="15" customWidth="1"/>
    <col min="11" max="11" width="14.5714285714286" style="15" customWidth="1"/>
    <col min="12" max="12" width="9.14285714285714" style="15" customWidth="1"/>
    <col min="13" max="13" width="14.5714285714286" style="15" customWidth="1"/>
    <col min="14" max="16384" width="9.14285714285714" style="15" customWidth="1"/>
  </cols>
  <sheetData>
    <row r="1" ht="39.95" customHeight="1" spans="1:1" x14ac:dyDescent="0.25">
      <c r="A1" s="77" t="s">
        <v>50</v>
      </c>
    </row>
    <row r="2" spans="7:7" x14ac:dyDescent="0.25">
      <c r="G2" s="56"/>
    </row>
    <row r="3" spans="1:7" x14ac:dyDescent="0.25">
      <c r="A3" s="15" t="s">
        <v>52</v>
      </c>
      <c r="G3" s="15"/>
    </row>
    <row r="4" spans="1:7" x14ac:dyDescent="0.25">
      <c r="A4" s="58" t="s">
        <v>7</v>
      </c>
      <c r="B4" s="58"/>
      <c r="C4" s="58"/>
      <c r="D4" s="58"/>
      <c r="E4" s="58"/>
      <c r="F4" s="58"/>
      <c r="G4" s="15"/>
    </row>
    <row r="5" spans="1:7" x14ac:dyDescent="0.25">
      <c r="A5" s="58" t="s">
        <v>54</v>
      </c>
      <c r="B5" s="58"/>
      <c r="C5" s="58"/>
      <c r="D5" s="58"/>
      <c r="E5" s="58"/>
      <c r="F5" s="58"/>
      <c r="G5" s="58"/>
    </row>
    <row r="6" spans="1:7" x14ac:dyDescent="0.25">
      <c r="A6" s="58" t="s">
        <v>55</v>
      </c>
      <c r="B6" s="58"/>
      <c r="C6" s="58"/>
      <c r="D6" s="58"/>
      <c r="E6" s="58"/>
      <c r="F6" s="58"/>
      <c r="G6" s="58"/>
    </row>
    <row r="7" spans="1:7" x14ac:dyDescent="0.25">
      <c r="A7" s="60"/>
      <c r="B7" s="60"/>
      <c r="C7" s="60"/>
      <c r="D7" s="60"/>
      <c r="E7" s="60"/>
      <c r="F7" s="60"/>
      <c r="G7" s="60"/>
    </row>
    <row r="8" ht="30" customHeight="1" spans="1:7" x14ac:dyDescent="0.25">
      <c r="A8" s="61" t="s">
        <v>78</v>
      </c>
      <c r="B8" s="61"/>
      <c r="C8" s="61"/>
      <c r="D8" s="61"/>
      <c r="E8" s="61"/>
      <c r="F8" s="61"/>
      <c r="G8" s="61"/>
    </row>
    <row r="9" spans="1:7" x14ac:dyDescent="0.25">
      <c r="A9" s="62"/>
      <c r="B9" s="62"/>
      <c r="C9" s="62"/>
      <c r="D9" s="62"/>
      <c r="E9" s="78"/>
      <c r="F9" s="62"/>
      <c r="G9" s="62"/>
    </row>
    <row r="10" spans="1:6" x14ac:dyDescent="0.25">
      <c r="A10" s="45" t="s">
        <v>57</v>
      </c>
      <c r="D10" s="58"/>
      <c r="E10" s="63" t="s">
        <v>58</v>
      </c>
      <c r="F10" s="7" t="str">
        <f>Template_CI!E11</f>
        <v>HKG26-024-B5&amp;005-B4</v>
      </c>
    </row>
    <row r="11" spans="1:6" x14ac:dyDescent="0.25">
      <c r="A11" s="15" t="s">
        <v>9</v>
      </c>
      <c r="B11" s="15" t="s">
        <v>63</v>
      </c>
      <c r="D11" s="58"/>
      <c r="E11" s="63" t="s">
        <v>61</v>
      </c>
      <c r="F11" s="8">
        <v>46204</v>
      </c>
    </row>
    <row r="12" ht="20.1" customHeight="1" spans="1:7" x14ac:dyDescent="0.25">
      <c r="A12" s="15" t="s">
        <v>79</v>
      </c>
      <c r="B12" s="15" t="str">
        <f>Template_CI!B11</f>
        <v>CSQUARE STEEL CO., LIMITED</v>
      </c>
      <c r="C12" s="45"/>
      <c r="D12" s="58"/>
      <c r="E12" s="58"/>
      <c r="F12" s="58"/>
      <c r="G12" s="79"/>
    </row>
    <row r="13" spans="1:2" x14ac:dyDescent="0.25">
      <c r="A13" s="15" t="s">
        <v>59</v>
      </c>
      <c r="B13" s="15" t="s">
        <v>60</v>
      </c>
    </row>
    <row r="14" spans="2:2" x14ac:dyDescent="0.25">
      <c r="B14" s="15" t="s">
        <v>62</v>
      </c>
    </row>
    <row r="15" spans="1:2" x14ac:dyDescent="0.25">
      <c r="A15" s="15" t="s">
        <v>10</v>
      </c>
      <c r="B15" s="15" t="s">
        <v>64</v>
      </c>
    </row>
    <row r="16" ht="11" customHeight="1" spans="1:7" x14ac:dyDescent="0.25">
      <c r="A16" s="58"/>
      <c r="B16" s="58"/>
      <c r="C16" s="58"/>
      <c r="D16" s="58"/>
      <c r="E16" s="58"/>
      <c r="F16" s="58"/>
      <c r="G16" s="7"/>
    </row>
    <row r="17" ht="11" customHeight="1" spans="1:7" x14ac:dyDescent="0.25">
      <c r="A17" s="58"/>
      <c r="B17" s="58"/>
      <c r="C17" s="58"/>
      <c r="D17" s="58"/>
      <c r="E17" s="58"/>
      <c r="F17" s="58"/>
      <c r="G17" s="7"/>
    </row>
    <row r="18" ht="11" customHeight="1" spans="1:7" x14ac:dyDescent="0.25">
      <c r="A18" s="58"/>
      <c r="B18" s="58"/>
      <c r="C18" s="58"/>
      <c r="D18" s="58"/>
      <c r="E18" s="58"/>
      <c r="F18" s="58"/>
      <c r="G18" s="7"/>
    </row>
    <row r="19" ht="39.95" customHeight="1" spans="1:8" x14ac:dyDescent="0.25">
      <c r="A19" s="18" t="s">
        <v>13</v>
      </c>
      <c r="B19" s="18" t="s">
        <v>14</v>
      </c>
      <c r="C19" s="80" t="s">
        <v>80</v>
      </c>
      <c r="D19" s="18" t="s">
        <v>81</v>
      </c>
      <c r="E19" s="80" t="s">
        <v>82</v>
      </c>
      <c r="F19" s="81" t="s">
        <v>83</v>
      </c>
      <c r="G19" s="80" t="s">
        <v>84</v>
      </c>
      <c r="H19" s="70"/>
    </row>
    <row r="20" ht="39.95" customHeight="1" spans="1:8" x14ac:dyDescent="0.25">
      <c r="A20" s="66">
        <v>1</v>
      </c>
      <c r="B20" s="25" t="str">
        <f>'Sales Contract'!B20</f>
        <v>DINING CHAIR</v>
      </c>
      <c r="C20" s="82" t="str">
        <f>'Sales Contract'!C20&amp;'Sales Contract'!D20</f>
        <v>40nos</v>
      </c>
      <c r="D20" s="83"/>
      <c r="E20" s="84"/>
      <c r="F20" s="84"/>
      <c r="G20" s="84"/>
      <c r="H20" s="15"/>
    </row>
    <row r="21" ht="39.95" customHeight="1" spans="1:8" x14ac:dyDescent="0.25">
      <c r="A21" s="66">
        <v>2</v>
      </c>
      <c r="B21" s="25" t="str">
        <f>'Sales Contract'!B21</f>
        <v>DINING TABLE</v>
      </c>
      <c r="C21" s="82" t="str">
        <f>'Sales Contract'!C21&amp;'Sales Contract'!D21</f>
        <v>10nos</v>
      </c>
      <c r="D21" s="83"/>
      <c r="E21" s="84"/>
      <c r="F21" s="84"/>
      <c r="G21" s="84"/>
      <c r="H21" s="15"/>
    </row>
    <row r="22" ht="39.95" customHeight="1" spans="1:8" x14ac:dyDescent="0.25">
      <c r="A22" s="66">
        <v>3</v>
      </c>
      <c r="B22" s="25" t="str">
        <f>'Sales Contract'!B22</f>
        <v>BAR STOOL</v>
      </c>
      <c r="C22" s="82" t="str">
        <f>'Sales Contract'!C22&amp;'Sales Contract'!D22</f>
        <v>80nos</v>
      </c>
      <c r="D22" s="83"/>
      <c r="E22" s="84"/>
      <c r="F22" s="84"/>
      <c r="G22" s="84"/>
      <c r="H22" s="15"/>
    </row>
    <row r="23" ht="39.95" customHeight="1" spans="1:8" x14ac:dyDescent="0.25">
      <c r="A23" s="66">
        <v>4</v>
      </c>
      <c r="B23" s="25" t="str">
        <f>'Sales Contract'!B23</f>
        <v>TV CABINET</v>
      </c>
      <c r="C23" s="82" t="str">
        <f>'Sales Contract'!C23&amp;'Sales Contract'!D23</f>
        <v>30nos</v>
      </c>
      <c r="D23" s="83"/>
      <c r="E23" s="84"/>
      <c r="F23" s="84"/>
      <c r="G23" s="84"/>
      <c r="H23" s="15"/>
    </row>
    <row r="24" ht="39.95" customHeight="1" spans="1:8" x14ac:dyDescent="0.25">
      <c r="A24" s="66">
        <v>5</v>
      </c>
      <c r="B24" s="25" t="str">
        <f>'Sales Contract'!B24</f>
        <v>SOFA</v>
      </c>
      <c r="C24" s="82" t="str">
        <f>'Sales Contract'!C24&amp;'Sales Contract'!D24</f>
        <v>9nos</v>
      </c>
      <c r="D24" s="83"/>
      <c r="E24" s="84"/>
      <c r="F24" s="84"/>
      <c r="G24" s="84"/>
      <c r="H24" s="15"/>
    </row>
    <row r="25" ht="39.95" customHeight="1" spans="1:8" x14ac:dyDescent="0.25">
      <c r="A25" s="66">
        <v>6</v>
      </c>
      <c r="B25" s="25" t="str">
        <f>'Sales Contract'!B25</f>
        <v>COFFEE TABLE</v>
      </c>
      <c r="C25" s="82" t="str">
        <f>'Sales Contract'!C25&amp;'Sales Contract'!D25</f>
        <v>30nos</v>
      </c>
      <c r="D25" s="83"/>
      <c r="E25" s="84"/>
      <c r="F25" s="84"/>
      <c r="G25" s="84"/>
      <c r="H25" s="15"/>
    </row>
    <row r="26" ht="39.95" customHeight="1" spans="1:8" x14ac:dyDescent="0.25">
      <c r="A26" s="66">
        <v>7</v>
      </c>
      <c r="B26" s="25" t="str">
        <f>'Sales Contract'!B26</f>
        <v>LIVING ROOM SIDE TABLE</v>
      </c>
      <c r="C26" s="82" t="str">
        <f>'Sales Contract'!C26&amp;'Sales Contract'!D26</f>
        <v>100nos</v>
      </c>
      <c r="D26" s="83"/>
      <c r="E26" s="84"/>
      <c r="F26" s="84"/>
      <c r="G26" s="84"/>
      <c r="H26" s="15"/>
    </row>
    <row r="27" ht="39.95" customHeight="1" spans="1:8" x14ac:dyDescent="0.25">
      <c r="A27" s="66">
        <v>8</v>
      </c>
      <c r="B27" s="25" t="str">
        <f>'Sales Contract'!B27</f>
        <v>FABRIC UPHOLSTERED BED BASE</v>
      </c>
      <c r="C27" s="82" t="str">
        <f>'Sales Contract'!C27&amp;'Sales Contract'!D27</f>
        <v>50nos</v>
      </c>
      <c r="D27" s="83"/>
      <c r="E27" s="84"/>
      <c r="F27" s="84"/>
      <c r="G27" s="84"/>
      <c r="H27" s="15"/>
    </row>
    <row r="28" ht="39.95" customHeight="1" spans="1:8" x14ac:dyDescent="0.25">
      <c r="A28" s="66">
        <v>12</v>
      </c>
      <c r="B28" s="25" t="str">
        <f>'Sales Contract'!B28</f>
        <v>CANTILEVER UMBRELLA</v>
      </c>
      <c r="C28" s="82" t="str">
        <f>'Sales Contract'!C28&amp;'Sales Contract'!D28</f>
        <v>23pcs</v>
      </c>
      <c r="D28" s="83"/>
      <c r="E28" s="84"/>
      <c r="F28" s="84"/>
      <c r="G28" s="84"/>
      <c r="H28" s="15"/>
    </row>
    <row r="29" ht="39.95" customHeight="1" spans="1:8" x14ac:dyDescent="0.25">
      <c r="A29" s="66">
        <v>13</v>
      </c>
      <c r="B29" s="25" t="str">
        <f>'Sales Contract'!B29</f>
        <v>STAINLESS‑STEEL STAIR RAILING</v>
      </c>
      <c r="C29" s="82" t="str">
        <f>'Sales Contract'!C29&amp;'Sales Contract'!D29</f>
        <v>40kgs</v>
      </c>
      <c r="D29" s="83"/>
      <c r="E29" s="84"/>
      <c r="F29" s="84"/>
      <c r="G29" s="84"/>
      <c r="H29" s="15"/>
    </row>
    <row r="30" ht="39.95" customHeight="1" hidden="1" spans="1:8" x14ac:dyDescent="0.25">
      <c r="A30" s="66">
        <v>14</v>
      </c>
      <c r="B30" s="25">
        <f>'Sales Contract'!B30</f>
        <v>0</v>
      </c>
      <c r="C30" s="82">
        <f>'Sales Contract'!C30&amp;'Sales Contract'!D30</f>
      </c>
      <c r="D30" s="83"/>
      <c r="E30" s="84"/>
      <c r="F30" s="84"/>
      <c r="G30" s="84"/>
      <c r="H30" s="15"/>
    </row>
    <row r="31" ht="39.95" customHeight="1" hidden="1" spans="1:8" x14ac:dyDescent="0.25">
      <c r="A31" s="66">
        <v>15</v>
      </c>
      <c r="B31" s="25">
        <f>'Sales Contract'!B31</f>
        <v>0</v>
      </c>
      <c r="C31" s="82">
        <f>'Sales Contract'!C31&amp;'Sales Contract'!D31</f>
      </c>
      <c r="D31" s="83"/>
      <c r="E31" s="84"/>
      <c r="F31" s="84"/>
      <c r="G31" s="84"/>
      <c r="H31" s="15"/>
    </row>
    <row r="32" ht="39.95" customHeight="1" hidden="1" spans="1:8" x14ac:dyDescent="0.25">
      <c r="A32" s="66">
        <v>16</v>
      </c>
      <c r="B32" s="25">
        <f>'Sales Contract'!B32</f>
        <v>0</v>
      </c>
      <c r="C32" s="82">
        <f>'Sales Contract'!C32&amp;'Sales Contract'!D32</f>
      </c>
      <c r="D32" s="83"/>
      <c r="E32" s="84"/>
      <c r="F32" s="84"/>
      <c r="G32" s="84"/>
      <c r="H32" s="15"/>
    </row>
    <row r="33" ht="39.95" customHeight="1" hidden="1" spans="1:8" x14ac:dyDescent="0.25">
      <c r="A33" s="66">
        <v>17</v>
      </c>
      <c r="B33" s="25">
        <f>'Sales Contract'!B33</f>
        <v>0</v>
      </c>
      <c r="C33" s="82">
        <f>'Sales Contract'!C33&amp;'Sales Contract'!D33</f>
      </c>
      <c r="D33" s="83"/>
      <c r="E33" s="84"/>
      <c r="F33" s="84"/>
      <c r="G33" s="84"/>
      <c r="H33" s="15"/>
    </row>
    <row r="34" ht="39.95" customHeight="1" hidden="1" spans="1:8" x14ac:dyDescent="0.25">
      <c r="A34" s="66">
        <v>18</v>
      </c>
      <c r="B34" s="25">
        <f>'Sales Contract'!B34</f>
        <v>0</v>
      </c>
      <c r="C34" s="82">
        <f>'Sales Contract'!C34&amp;'Sales Contract'!D34</f>
      </c>
      <c r="D34" s="83"/>
      <c r="E34" s="84"/>
      <c r="F34" s="84"/>
      <c r="G34" s="84"/>
      <c r="H34" s="15"/>
    </row>
    <row r="35" ht="39.95" customHeight="1" hidden="1" spans="1:8" x14ac:dyDescent="0.25">
      <c r="A35" s="66">
        <v>19</v>
      </c>
      <c r="B35" s="25">
        <f>'Sales Contract'!B35</f>
        <v>0</v>
      </c>
      <c r="C35" s="82">
        <f>'Sales Contract'!C35&amp;'Sales Contract'!D35</f>
      </c>
      <c r="D35" s="83"/>
      <c r="E35" s="84"/>
      <c r="F35" s="84"/>
      <c r="G35" s="84"/>
      <c r="H35" s="15"/>
    </row>
    <row r="36" ht="39.95" customHeight="1" spans="1:7" x14ac:dyDescent="0.25">
      <c r="A36" s="65" t="s">
        <v>26</v>
      </c>
      <c r="B36" s="67"/>
      <c r="C36" s="67"/>
      <c r="D36" s="85">
        <f>SUM(D20:D35)</f>
        <v>557</v>
      </c>
      <c r="E36" s="86">
        <f>SUM(E20:E35)</f>
        <v>15067</v>
      </c>
      <c r="F36" s="86">
        <f>SUM(F20:F35)</f>
        <v>14122</v>
      </c>
      <c r="G36" s="86">
        <f>SUM(G20:G35)</f>
        <v>131.89</v>
      </c>
    </row>
    <row r="37" ht="39.95" customHeight="1" spans="1:7" x14ac:dyDescent="0.25">
      <c r="A37" s="72"/>
      <c r="B37" s="72"/>
      <c r="C37" s="72"/>
      <c r="D37" s="87"/>
      <c r="E37" s="87"/>
      <c r="F37" s="87"/>
      <c r="G37" s="87"/>
    </row>
    <row r="38" ht="39.95" customHeight="1" spans="1:7" x14ac:dyDescent="0.25">
      <c r="A38" s="72"/>
      <c r="B38" s="72"/>
      <c r="C38" s="72"/>
      <c r="D38" s="87"/>
      <c r="E38" s="87"/>
      <c r="F38" s="87"/>
      <c r="G38" s="87"/>
    </row>
    <row r="39" ht="39.95" customHeight="1" spans="1:7" x14ac:dyDescent="0.25">
      <c r="A39" s="72"/>
      <c r="B39" s="72"/>
      <c r="C39" s="72"/>
      <c r="D39" s="87"/>
      <c r="E39" s="87"/>
      <c r="F39" s="87"/>
      <c r="G39" s="87"/>
    </row>
    <row r="40" ht="39.95" customHeight="1" spans="1:7" x14ac:dyDescent="0.25">
      <c r="A40" s="72"/>
      <c r="B40" s="72"/>
      <c r="C40" s="72"/>
      <c r="D40" s="87"/>
      <c r="E40" s="87"/>
      <c r="F40" s="87"/>
      <c r="G40" s="87"/>
    </row>
    <row r="41" ht="39.95" customHeight="1" spans="1:7" x14ac:dyDescent="0.25">
      <c r="A41" s="72"/>
      <c r="B41" s="72"/>
      <c r="C41" s="72"/>
      <c r="D41" s="87"/>
      <c r="E41" s="87"/>
      <c r="F41" s="87"/>
      <c r="G41" s="87"/>
    </row>
    <row r="42" ht="39.95" customHeight="1" spans="1:7" x14ac:dyDescent="0.25">
      <c r="A42" s="72"/>
      <c r="B42" s="72"/>
      <c r="C42" s="72"/>
      <c r="D42" s="87"/>
      <c r="E42" s="87"/>
      <c r="F42" s="87"/>
      <c r="G42" s="87"/>
    </row>
    <row r="43" ht="39.95" customHeight="1" spans="1:7" x14ac:dyDescent="0.25">
      <c r="A43" s="72"/>
      <c r="B43" s="72"/>
      <c r="C43" s="72"/>
      <c r="D43" s="87"/>
      <c r="E43" s="87"/>
      <c r="F43" s="87"/>
      <c r="G43" s="87"/>
    </row>
    <row r="44" ht="39.95" customHeight="1" spans="1:7" x14ac:dyDescent="0.25">
      <c r="A44" s="72"/>
      <c r="B44" s="72"/>
      <c r="C44" s="72"/>
      <c r="D44" s="87"/>
      <c r="E44" s="87"/>
      <c r="F44" s="87"/>
      <c r="G44" s="87"/>
    </row>
    <row r="45" ht="39.95" customHeight="1" spans="1:7" x14ac:dyDescent="0.25">
      <c r="A45" s="72"/>
      <c r="B45" s="72"/>
      <c r="C45" s="72"/>
      <c r="D45" s="87"/>
      <c r="E45" s="87"/>
      <c r="F45" s="87"/>
      <c r="G45" s="87"/>
    </row>
    <row r="46" ht="39.95" customHeight="1" spans="1:7" x14ac:dyDescent="0.25">
      <c r="A46" s="72"/>
      <c r="B46" s="72"/>
      <c r="C46" s="72"/>
      <c r="D46" s="87"/>
      <c r="E46" s="87"/>
      <c r="F46" s="87"/>
      <c r="G46" s="87"/>
    </row>
    <row r="47" spans="7:7" x14ac:dyDescent="0.25">
      <c r="G47" s="15"/>
    </row>
    <row r="51" spans="1:7" x14ac:dyDescent="0.25">
      <c r="A51" s="64" t="s">
        <v>50</v>
      </c>
      <c r="B51" s="64"/>
      <c r="C51" s="64"/>
      <c r="D51" s="64"/>
      <c r="E51" s="64"/>
      <c r="F51" s="64"/>
      <c r="G51" s="64"/>
    </row>
    <row r="52" spans="1:7" x14ac:dyDescent="0.25">
      <c r="A52" s="72" t="s">
        <v>77</v>
      </c>
      <c r="B52" s="72"/>
      <c r="C52" s="72"/>
      <c r="D52" s="72"/>
      <c r="E52" s="72"/>
      <c r="F52" s="72"/>
      <c r="G52" s="72"/>
    </row>
  </sheetData>
  <mergeCells count="4">
    <mergeCell ref="A8:G8"/>
    <mergeCell ref="A36:C36"/>
    <mergeCell ref="A51:G51"/>
    <mergeCell ref="A52:G52"/>
  </mergeCells>
  <hyperlinks>
    <hyperlink ref="A6" r:id="rId1"/>
  </hyperlinks>
  <printOptions horizontalCentered="1"/>
  <pageMargins left="0.75" right="0.75" top="1" bottom="1" header="0.5" footer="0.5"/>
  <pageSetup paperSize="9" orientation="portrait" horizontalDpi="4294967295" verticalDpi="4294967295" scale="65" fitToWidth="1" fitToHeight="0" firstPageNumber="1" useFirstPageNumber="1" copies="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9"/>
  <sheetViews>
    <sheetView workbookViewId="0" showGridLines="0" zoomScale="100" zoomScaleNormal="100" view="pageBreakPreview">
      <selection activeCell="A30" sqref="A30"/>
    </sheetView>
  </sheetViews>
  <sheetFormatPr defaultRowHeight="15" outlineLevelRow="0" outlineLevelCol="5" x14ac:dyDescent="0" defaultColWidth="9.14285714285714"/>
  <cols>
    <col min="1" max="1" width="12.6952380952381" style="15" customWidth="1"/>
    <col min="2" max="2" width="43.9047619047619" style="15" customWidth="1"/>
    <col min="3" max="5" width="21" style="15" customWidth="1"/>
    <col min="6" max="6" width="21" style="53" customWidth="1"/>
    <col min="7" max="16384" width="9.14285714285714" style="15" customWidth="1"/>
  </cols>
  <sheetData>
    <row r="1" ht="47" customHeight="1" spans="1:4" x14ac:dyDescent="0.25">
      <c r="A1" s="54" t="s">
        <v>50</v>
      </c>
      <c r="B1" s="54"/>
      <c r="C1" s="54"/>
      <c r="D1" s="54"/>
    </row>
    <row r="2" ht="50" customHeight="1" hidden="1" spans="1:6" x14ac:dyDescent="0.25">
      <c r="A2" s="55" t="s">
        <v>51</v>
      </c>
      <c r="F2" s="56"/>
    </row>
    <row r="3" spans="1:6" x14ac:dyDescent="0.25">
      <c r="A3" s="15" t="s">
        <v>52</v>
      </c>
      <c r="F3" s="15"/>
    </row>
    <row r="4" ht="18" customHeight="1" spans="1:6" x14ac:dyDescent="0.25">
      <c r="A4" s="57" t="s">
        <v>7</v>
      </c>
      <c r="B4" s="57"/>
      <c r="C4" s="57"/>
      <c r="D4" s="58"/>
      <c r="E4" s="58"/>
      <c r="F4" s="15"/>
    </row>
    <row r="5" hidden="1" spans="1:6" x14ac:dyDescent="0.25">
      <c r="A5" s="59" t="s">
        <v>53</v>
      </c>
      <c r="B5" s="58"/>
      <c r="C5" s="58"/>
      <c r="D5" s="58"/>
      <c r="E5" s="58"/>
      <c r="F5" s="58"/>
    </row>
    <row r="6" spans="1:6" x14ac:dyDescent="0.25">
      <c r="A6" s="58" t="s">
        <v>54</v>
      </c>
      <c r="B6" s="58"/>
      <c r="C6" s="58"/>
      <c r="D6" s="58"/>
      <c r="E6" s="58"/>
      <c r="F6" s="58"/>
    </row>
    <row r="7" spans="1:6" x14ac:dyDescent="0.25">
      <c r="A7" s="58" t="s">
        <v>55</v>
      </c>
      <c r="B7" s="58"/>
      <c r="C7" s="58"/>
      <c r="D7" s="58"/>
      <c r="E7" s="58"/>
      <c r="F7" s="58"/>
    </row>
    <row r="8" spans="1:6" x14ac:dyDescent="0.25">
      <c r="A8" s="60"/>
      <c r="B8" s="60"/>
      <c r="C8" s="60"/>
      <c r="D8" s="60"/>
      <c r="E8" s="60"/>
      <c r="F8" s="60"/>
    </row>
    <row r="9" ht="42.95" customHeight="1" spans="1:6" x14ac:dyDescent="0.25">
      <c r="A9" s="61" t="s">
        <v>56</v>
      </c>
      <c r="B9" s="61"/>
      <c r="C9" s="61"/>
      <c r="D9" s="61"/>
      <c r="E9" s="61"/>
      <c r="F9" s="61"/>
    </row>
    <row r="10" spans="1:6" x14ac:dyDescent="0.25">
      <c r="A10" s="62"/>
      <c r="B10" s="62"/>
      <c r="C10" s="62"/>
      <c r="D10" s="62"/>
      <c r="E10" s="62"/>
      <c r="F10" s="62"/>
    </row>
    <row r="11" ht="15.95" customHeight="1" spans="1:5" x14ac:dyDescent="0.25">
      <c r="A11" s="45" t="s">
        <v>57</v>
      </c>
      <c r="B11" s="15" t="str">
        <f>'Sales Contract'!B11</f>
        <v>CSQUARE STEEL CO., LIMITED</v>
      </c>
      <c r="D11" s="63" t="s">
        <v>58</v>
      </c>
      <c r="E11" s="53" t="str">
        <f>'Sales Contract'!E3</f>
        <v>HKG26-024-B5&amp;005-B4</v>
      </c>
    </row>
    <row r="12" spans="1:5" x14ac:dyDescent="0.25">
      <c r="A12" s="45" t="s">
        <v>59</v>
      </c>
      <c r="B12" s="15" t="s">
        <v>60</v>
      </c>
      <c r="D12" s="63" t="s">
        <v>61</v>
      </c>
      <c r="E12" s="8"/>
    </row>
    <row r="13" spans="1:5" x14ac:dyDescent="0.25">
      <c r="A13" s="45"/>
      <c r="B13" s="15" t="s">
        <v>62</v>
      </c>
      <c r="D13" s="63"/>
      <c r="E13" s="53"/>
    </row>
    <row r="14" spans="1:2" x14ac:dyDescent="0.25">
      <c r="A14" s="45" t="s">
        <v>9</v>
      </c>
      <c r="B14" s="15" t="s">
        <v>63</v>
      </c>
    </row>
    <row r="15" spans="1:2" x14ac:dyDescent="0.25">
      <c r="A15" s="45" t="s">
        <v>10</v>
      </c>
      <c r="B15" s="15" t="s">
        <v>64</v>
      </c>
    </row>
    <row r="17" ht="17" customHeight="1" spans="1:6" x14ac:dyDescent="0.25">
      <c r="A17" s="64"/>
      <c r="B17" s="64"/>
      <c r="C17" s="64"/>
      <c r="D17" s="64"/>
      <c r="E17" s="64"/>
      <c r="F17" s="64"/>
    </row>
    <row r="18" ht="13" customHeight="1" spans="1:6" x14ac:dyDescent="0.25">
      <c r="A18" s="64"/>
      <c r="B18" s="64"/>
      <c r="C18" s="64"/>
      <c r="D18" s="64"/>
      <c r="E18" s="64"/>
      <c r="F18" s="64"/>
    </row>
    <row r="19" ht="39.95" customHeight="1" spans="1:6" x14ac:dyDescent="0.25">
      <c r="A19" s="18" t="s">
        <v>13</v>
      </c>
      <c r="B19" s="65" t="s">
        <v>14</v>
      </c>
      <c r="C19" s="18" t="s">
        <v>15</v>
      </c>
      <c r="D19" s="18" t="s">
        <v>16</v>
      </c>
      <c r="E19" s="18" t="s">
        <v>17</v>
      </c>
      <c r="F19" s="18" t="s">
        <v>26</v>
      </c>
    </row>
    <row r="20" ht="39.95" customHeight="1" spans="1:6" x14ac:dyDescent="0.25">
      <c r="A20" s="66">
        <v>1</v>
      </c>
      <c r="B20" s="25" t="s">
        <v>65</v>
      </c>
      <c r="C20" s="27">
        <f>'Sales Contract'!C20</f>
        <v>40</v>
      </c>
      <c r="D20" s="27" t="str">
        <f>'Sales Contract'!D20</f>
        <v>nos</v>
      </c>
      <c r="E20" s="27">
        <f>'Sales Contract'!E20</f>
        <v>132.73</v>
      </c>
      <c r="F20" s="27">
        <f>'Sales Contract'!F20</f>
        <v>5309.2</v>
      </c>
    </row>
    <row r="21" ht="39.95" customHeight="1" spans="1:6" x14ac:dyDescent="0.25">
      <c r="A21" s="66">
        <v>2</v>
      </c>
      <c r="B21" s="25" t="s">
        <v>66</v>
      </c>
      <c r="C21" s="27">
        <f>'Sales Contract'!C21</f>
        <v>10</v>
      </c>
      <c r="D21" s="27" t="str">
        <f>'Sales Contract'!D21</f>
        <v>nos</v>
      </c>
      <c r="E21" s="27">
        <f>'Sales Contract'!E21</f>
        <v>295.56</v>
      </c>
      <c r="F21" s="27">
        <f>'Sales Contract'!F21</f>
        <v>2955.6</v>
      </c>
    </row>
    <row r="22" ht="39.95" customHeight="1" spans="1:6" x14ac:dyDescent="0.25">
      <c r="A22" s="66">
        <v>3</v>
      </c>
      <c r="B22" s="25" t="s">
        <v>67</v>
      </c>
      <c r="C22" s="27">
        <f>'Sales Contract'!C22</f>
        <v>80</v>
      </c>
      <c r="D22" s="27" t="str">
        <f>'Sales Contract'!D22</f>
        <v>nos</v>
      </c>
      <c r="E22" s="27">
        <f>'Sales Contract'!E22</f>
        <v>282.37</v>
      </c>
      <c r="F22" s="27">
        <f>'Sales Contract'!F22</f>
        <v>22589.6</v>
      </c>
    </row>
    <row r="23" ht="39.95" customHeight="1" spans="1:6" x14ac:dyDescent="0.25">
      <c r="A23" s="66">
        <v>4</v>
      </c>
      <c r="B23" s="25" t="s">
        <v>68</v>
      </c>
      <c r="C23" s="27">
        <f>'Sales Contract'!C23</f>
        <v>30</v>
      </c>
      <c r="D23" s="27" t="str">
        <f>'Sales Contract'!D23</f>
        <v>nos</v>
      </c>
      <c r="E23" s="27">
        <f>'Sales Contract'!E23</f>
        <v>320.25</v>
      </c>
      <c r="F23" s="27">
        <f>'Sales Contract'!F23</f>
        <v>9607.5</v>
      </c>
    </row>
    <row r="24" ht="39.95" customHeight="1" spans="1:6" x14ac:dyDescent="0.25">
      <c r="A24" s="66">
        <v>5</v>
      </c>
      <c r="B24" s="25" t="s">
        <v>69</v>
      </c>
      <c r="C24" s="27">
        <v>9</v>
      </c>
      <c r="D24" s="27" t="str">
        <f>'Sales Contract'!D24</f>
        <v>nos</v>
      </c>
      <c r="E24" s="27">
        <f>'Sales Contract'!E24</f>
        <v>634.07</v>
      </c>
      <c r="F24" s="27">
        <f>'Sales Contract'!F24</f>
        <v>5706.63</v>
      </c>
    </row>
    <row r="25" ht="39.95" customHeight="1" spans="1:6" x14ac:dyDescent="0.25">
      <c r="A25" s="66">
        <v>6</v>
      </c>
      <c r="B25" s="25" t="s">
        <v>70</v>
      </c>
      <c r="C25" s="27">
        <f>'Sales Contract'!C24</f>
        <v>9</v>
      </c>
      <c r="D25" s="27" t="str">
        <f>'Sales Contract'!D25</f>
        <v>nos</v>
      </c>
      <c r="E25" s="27">
        <f>'Sales Contract'!E25</f>
        <v>607.01</v>
      </c>
      <c r="F25" s="27">
        <f>'Sales Contract'!F25</f>
        <v>18210.3</v>
      </c>
    </row>
    <row r="26" ht="39.95" customHeight="1" spans="1:6" x14ac:dyDescent="0.25">
      <c r="A26" s="66">
        <v>7</v>
      </c>
      <c r="B26" s="25" t="s">
        <v>71</v>
      </c>
      <c r="C26" s="27">
        <f>'Sales Contract'!C26</f>
        <v>100</v>
      </c>
      <c r="D26" s="27" t="str">
        <f>'Sales Contract'!D26</f>
        <v>nos</v>
      </c>
      <c r="E26" s="27">
        <f>'Sales Contract'!E26</f>
        <v>124.95</v>
      </c>
      <c r="F26" s="27">
        <f>'Sales Contract'!F26</f>
        <v>12495</v>
      </c>
    </row>
    <row r="27" ht="39.95" customHeight="1" spans="1:6" x14ac:dyDescent="0.25">
      <c r="A27" s="66">
        <v>8</v>
      </c>
      <c r="B27" s="25" t="s">
        <v>72</v>
      </c>
      <c r="C27" s="27">
        <f>'Sales Contract'!C27</f>
        <v>50</v>
      </c>
      <c r="D27" s="27" t="str">
        <f>'Sales Contract'!D27</f>
        <v>nos</v>
      </c>
      <c r="E27" s="27">
        <f>'Sales Contract'!E27</f>
        <v>449.77</v>
      </c>
      <c r="F27" s="27">
        <f>'Sales Contract'!F27</f>
        <v>22488.5</v>
      </c>
    </row>
    <row r="28" ht="39.95" customHeight="1" spans="1:6" x14ac:dyDescent="0.25">
      <c r="A28" s="66">
        <v>9</v>
      </c>
      <c r="B28" s="25" t="s">
        <v>73</v>
      </c>
      <c r="C28" s="27">
        <f>'Sales Contract'!C28</f>
        <v>23</v>
      </c>
      <c r="D28" s="27" t="s">
        <v>74</v>
      </c>
      <c r="E28" s="27">
        <f>'Sales Contract'!E28</f>
        <v>155.03</v>
      </c>
      <c r="F28" s="27">
        <f>'Sales Contract'!F28</f>
        <v>3565.69</v>
      </c>
    </row>
    <row r="29" ht="39.95" customHeight="1" spans="1:6" x14ac:dyDescent="0.25">
      <c r="A29" s="66">
        <v>10</v>
      </c>
      <c r="B29" s="25" t="s">
        <v>75</v>
      </c>
      <c r="C29" s="27">
        <v>40</v>
      </c>
      <c r="D29" s="27" t="s">
        <v>76</v>
      </c>
      <c r="E29" s="27">
        <f>'Sales Contract'!E29</f>
        <v>14.99</v>
      </c>
      <c r="F29" s="27">
        <f>'Sales Contract'!F29</f>
        <v>599.6</v>
      </c>
    </row>
    <row r="30" ht="39.95" customHeight="1" hidden="1" spans="1:6" x14ac:dyDescent="0.25">
      <c r="A30" s="66"/>
      <c r="B30" s="25"/>
      <c r="C30" s="27"/>
      <c r="D30" s="27"/>
      <c r="E30" s="27"/>
      <c r="F30" s="27"/>
    </row>
    <row r="31" ht="39.95" customHeight="1" hidden="1" spans="1:6" x14ac:dyDescent="0.25">
      <c r="A31" s="66"/>
      <c r="B31" s="25"/>
      <c r="C31" s="27"/>
      <c r="D31" s="27"/>
      <c r="E31" s="27"/>
      <c r="F31" s="27"/>
    </row>
    <row r="32" ht="39.95" customHeight="1" hidden="1" spans="1:6" x14ac:dyDescent="0.25">
      <c r="A32" s="66"/>
      <c r="B32" s="25"/>
      <c r="C32" s="27"/>
      <c r="D32" s="27"/>
      <c r="E32" s="27"/>
      <c r="F32" s="27"/>
    </row>
    <row r="33" ht="39.95" customHeight="1" hidden="1" spans="1:6" x14ac:dyDescent="0.25">
      <c r="A33" s="66"/>
      <c r="B33" s="25"/>
      <c r="C33" s="27"/>
      <c r="D33" s="27"/>
      <c r="E33" s="27"/>
      <c r="F33" s="27"/>
    </row>
    <row r="34" ht="39.95" customHeight="1" hidden="1" spans="1:6" x14ac:dyDescent="0.25">
      <c r="A34" s="66"/>
      <c r="B34" s="25"/>
      <c r="C34" s="27"/>
      <c r="D34" s="27"/>
      <c r="E34" s="27"/>
      <c r="F34" s="27"/>
    </row>
    <row r="35" ht="39.95" customHeight="1" hidden="1" spans="1:6" x14ac:dyDescent="0.25">
      <c r="A35" s="66"/>
      <c r="B35" s="25"/>
      <c r="C35" s="27"/>
      <c r="D35" s="27"/>
      <c r="E35" s="27"/>
      <c r="F35" s="27"/>
    </row>
    <row r="36" ht="39.95" customHeight="1" spans="1:6" x14ac:dyDescent="0.25">
      <c r="A36" s="65" t="s">
        <v>26</v>
      </c>
      <c r="B36" s="67"/>
      <c r="C36" s="67"/>
      <c r="D36" s="67"/>
      <c r="E36" s="68"/>
      <c r="F36" s="69">
        <f>SUM(F20:F35)</f>
        <v>103527.62</v>
      </c>
    </row>
    <row r="40" spans="1:6" x14ac:dyDescent="0.25">
      <c r="A40" s="70"/>
      <c r="B40" s="64"/>
      <c r="C40" s="64"/>
      <c r="D40" s="64"/>
      <c r="E40" s="64"/>
      <c r="F40" s="64"/>
    </row>
    <row r="41" spans="1:6" x14ac:dyDescent="0.25">
      <c r="A41" s="70"/>
      <c r="B41" s="64"/>
      <c r="C41" s="64"/>
      <c r="D41" s="64"/>
      <c r="E41" s="64"/>
      <c r="F41" s="64"/>
    </row>
    <row r="42" spans="1:6" x14ac:dyDescent="0.25">
      <c r="A42" s="70"/>
      <c r="B42" s="64"/>
      <c r="C42" s="64"/>
      <c r="D42" s="64"/>
      <c r="E42" s="64"/>
      <c r="F42" s="64"/>
    </row>
    <row r="43" spans="1:6" x14ac:dyDescent="0.25">
      <c r="A43" s="70"/>
      <c r="B43" s="64"/>
      <c r="C43" s="64"/>
      <c r="D43" s="64"/>
      <c r="E43" s="64"/>
      <c r="F43" s="64"/>
    </row>
    <row r="44" spans="1:6" x14ac:dyDescent="0.25">
      <c r="A44" s="70"/>
      <c r="B44" s="64"/>
      <c r="C44" s="64"/>
      <c r="D44" s="64"/>
      <c r="E44" s="64"/>
      <c r="F44" s="64"/>
    </row>
    <row r="45" spans="1:6" x14ac:dyDescent="0.25">
      <c r="A45" s="70" t="s">
        <v>50</v>
      </c>
      <c r="B45" s="64"/>
      <c r="C45" s="64"/>
      <c r="D45" s="64"/>
      <c r="E45" s="64"/>
      <c r="F45" s="64"/>
    </row>
    <row r="46" ht="17" customHeight="1" hidden="1" spans="1:6" x14ac:dyDescent="0.25">
      <c r="A46" s="71"/>
      <c r="B46" s="72"/>
      <c r="C46" s="73" t="s">
        <v>51</v>
      </c>
      <c r="D46" s="72"/>
      <c r="E46" s="72"/>
      <c r="F46" s="72"/>
    </row>
    <row r="47" ht="14" customHeight="1" spans="1:6" x14ac:dyDescent="0.25">
      <c r="A47" s="71" t="s">
        <v>77</v>
      </c>
      <c r="B47" s="72"/>
      <c r="C47" s="72"/>
      <c r="D47" s="72"/>
      <c r="E47" s="72"/>
      <c r="F47" s="72"/>
    </row>
    <row r="48" hidden="1" spans="1:6" x14ac:dyDescent="0.25">
      <c r="A48" s="74" t="s">
        <v>53</v>
      </c>
      <c r="B48" s="75"/>
      <c r="C48" s="74"/>
      <c r="D48" s="75"/>
      <c r="E48" s="75"/>
      <c r="F48" s="76"/>
    </row>
    <row r="49" spans="6:6" x14ac:dyDescent="0.25">
      <c r="F49" s="53"/>
    </row>
  </sheetData>
  <mergeCells count="6">
    <mergeCell ref="A1:D1"/>
    <mergeCell ref="A4:C4"/>
    <mergeCell ref="A9:F9"/>
    <mergeCell ref="A36:E36"/>
    <mergeCell ref="A45:F45"/>
    <mergeCell ref="A47:F47"/>
  </mergeCells>
  <hyperlinks>
    <hyperlink ref="A7" r:id="rId1"/>
  </hyperlinks>
  <printOptions horizontalCentered="1"/>
  <pageMargins left="0.751388888888889" right="0.751388888888889" top="1" bottom="1" header="0.5" footer="0.5"/>
  <pageSetup paperSize="9" orientation="portrait" horizontalDpi="600" verticalDpi="4294967295" scale="65" fitToWidth="1" fitToHeight="0" firstPageNumber="1" useFirstPageNumber="1" copies="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28"/>
  <sheetViews>
    <sheetView workbookViewId="0" zoomScale="100" zoomScaleNormal="85" view="pageBreakPreview">
      <selection activeCell="F23" sqref="F23"/>
    </sheetView>
  </sheetViews>
  <sheetFormatPr defaultRowHeight="15.75" outlineLevelRow="0" outlineLevelCol="0" x14ac:dyDescent="0" defaultColWidth="11" customHeight="1"/>
  <cols>
    <col min="1" max="1" width="13.4095238095238" style="1" customWidth="1"/>
    <col min="2" max="2" width="43.7619047619048" style="1" customWidth="1"/>
    <col min="3" max="6" width="20.2285714285714" style="1" customWidth="1"/>
    <col min="7" max="7" width="15.1428571428571" style="1" customWidth="1"/>
    <col min="8" max="8" width="14.7142857142857" style="1" customWidth="1"/>
    <col min="9" max="9" width="18.5714285714286" style="1" customWidth="1"/>
    <col min="10" max="10" width="11" style="1" customWidth="1"/>
    <col min="11" max="11" width="15.8571428571429" style="1" customWidth="1"/>
    <col min="12" max="13" width="18.8571428571429" style="1" customWidth="1"/>
    <col min="14" max="14" width="19.5714285714286" style="2" customWidth="1"/>
    <col min="15" max="16384" width="11" style="2" customWidth="1"/>
  </cols>
  <sheetData>
    <row r="1" ht="67" customHeight="1" spans="1:6" x14ac:dyDescent="0.25">
      <c r="A1" s="3" t="s">
        <v>0</v>
      </c>
      <c r="B1" s="4"/>
      <c r="C1" s="4"/>
      <c r="D1" s="4"/>
      <c r="E1" s="4"/>
      <c r="F1" s="4"/>
    </row>
    <row r="2" ht="20.1" customHeight="1" spans="6:6" x14ac:dyDescent="0.25">
      <c r="F2" s="5"/>
    </row>
    <row r="3" ht="34" customHeight="1" spans="4:6" x14ac:dyDescent="0.25">
      <c r="D3" s="6" t="s">
        <v>1</v>
      </c>
      <c r="E3" s="7"/>
      <c r="F3" s="7"/>
    </row>
    <row r="4" ht="30" customHeight="1" spans="4:6" x14ac:dyDescent="0.25">
      <c r="D4" s="6" t="s">
        <v>2</v>
      </c>
      <c r="E4" s="8"/>
      <c r="F4" s="8"/>
    </row>
    <row r="5" ht="20.1" customHeight="1" spans="4:6" x14ac:dyDescent="0.25">
      <c r="D5" s="9"/>
      <c r="E5" s="8"/>
      <c r="F5" s="8"/>
    </row>
    <row r="6" ht="20.1" customHeight="1" x14ac:dyDescent="0.25"/>
    <row r="7" ht="31.5" customHeight="1" spans="1:2" x14ac:dyDescent="0.25">
      <c r="A7" s="10" t="s">
        <v>3</v>
      </c>
      <c r="B7" s="11" t="s">
        <v>4</v>
      </c>
    </row>
    <row r="8" ht="31.5" customHeight="1" spans="1:6" x14ac:dyDescent="0.25">
      <c r="A8" s="10" t="s">
        <v>5</v>
      </c>
      <c r="B8" s="12" t="s">
        <v>6</v>
      </c>
      <c r="C8" s="12"/>
      <c r="D8" s="12"/>
      <c r="E8" s="12"/>
      <c r="F8" s="12"/>
    </row>
    <row r="9" ht="20.1" customHeight="1" spans="1:2" x14ac:dyDescent="0.25">
      <c r="A9" s="13"/>
      <c r="B9" s="1" t="s">
        <v>7</v>
      </c>
    </row>
    <row r="10" ht="20.1" customHeight="1" spans="1:1" x14ac:dyDescent="0.25">
      <c r="A10" s="13"/>
    </row>
    <row r="11" ht="34" customHeight="1" spans="1:2" x14ac:dyDescent="0.25">
      <c r="A11" s="14" t="s">
        <v>8</v>
      </c>
      <c r="B11" s="15"/>
    </row>
    <row r="12" ht="36" customHeight="1" spans="1:2" x14ac:dyDescent="0.25">
      <c r="A12" s="14" t="s">
        <v>5</v>
      </c>
      <c r="B12" s="15"/>
    </row>
    <row r="13" ht="20.1" customHeight="1" spans="1:2" x14ac:dyDescent="0.25">
      <c r="A13" s="13" t="s">
        <v>9</v>
      </c>
      <c r="B13" s="15"/>
    </row>
    <row r="14" ht="20.1" customHeight="1" spans="1:2" x14ac:dyDescent="0.25">
      <c r="A14" s="13" t="s">
        <v>10</v>
      </c>
      <c r="B14" s="15"/>
    </row>
    <row r="15" ht="20.1" customHeight="1" spans="2:2" x14ac:dyDescent="0.25">
      <c r="B15" s="1"/>
    </row>
    <row r="16" ht="17" customHeight="1" spans="1:1" x14ac:dyDescent="0.25">
      <c r="A16" s="1" t="s">
        <v>11</v>
      </c>
    </row>
    <row r="17" ht="22" customHeight="1" spans="1:6" x14ac:dyDescent="0.25">
      <c r="A17" s="16" t="s">
        <v>12</v>
      </c>
      <c r="B17" s="16"/>
      <c r="C17" s="16"/>
      <c r="D17" s="16"/>
      <c r="E17" s="16"/>
      <c r="F17" s="16"/>
    </row>
    <row r="18" ht="20.1" customHeight="1" spans="8:8" x14ac:dyDescent="0.25">
      <c r="H18" s="1"/>
    </row>
    <row r="19" ht="32" customHeight="1" spans="1:14" s="17" customFormat="1" x14ac:dyDescent="0.25">
      <c r="A19" s="18" t="s">
        <v>13</v>
      </c>
      <c r="B19" s="19" t="s">
        <v>14</v>
      </c>
      <c r="C19" s="19" t="s">
        <v>15</v>
      </c>
      <c r="D19" s="19" t="s">
        <v>16</v>
      </c>
      <c r="E19" s="19" t="s">
        <v>17</v>
      </c>
      <c r="F19" s="19" t="s">
        <v>18</v>
      </c>
      <c r="G19" s="20" t="s">
        <v>19</v>
      </c>
      <c r="H19" s="15" t="s">
        <v>20</v>
      </c>
      <c r="I19" s="20" t="s">
        <v>21</v>
      </c>
      <c r="J19" s="21" t="s">
        <v>22</v>
      </c>
      <c r="K19" s="22" t="s">
        <v>23</v>
      </c>
      <c r="L19" s="23" t="s">
        <v>24</v>
      </c>
      <c r="M19" s="23" t="s">
        <v>25</v>
      </c>
      <c r="N19" s="24"/>
    </row>
    <row r="20" ht="32" customHeight="1" spans="1:14" s="17" customFormat="1" x14ac:dyDescent="0.25">
      <c r="A20" s="25">
        <v>1</v>
      </c>
      <c r="B20" s="25"/>
      <c r="C20" s="26"/>
      <c r="D20" s="27"/>
      <c r="E20" s="28">
        <f>L20</f>
        <v>132.73</v>
      </c>
      <c r="F20" s="28">
        <f>M20</f>
        <v>5309.2</v>
      </c>
      <c r="G20" s="29">
        <f t="shared" ref="G20:G29" si="0">I20/C20</f>
        <v>887.05</v>
      </c>
      <c r="H20" s="29"/>
      <c r="I20" s="29">
        <f>H20*$H$18</f>
      </c>
      <c r="J20" s="30"/>
      <c r="K20" s="30"/>
      <c r="L20" s="31">
        <f>ROUND(G20/J20*K20,2)</f>
        <v>132.73</v>
      </c>
      <c r="M20" s="31">
        <f>L20*C20</f>
        <v>5309.2</v>
      </c>
      <c r="N20" s="24"/>
    </row>
    <row r="21" ht="32" customHeight="1" spans="1:14" s="17" customFormat="1" x14ac:dyDescent="0.25">
      <c r="A21" s="25">
        <v>2</v>
      </c>
      <c r="B21" s="25"/>
      <c r="C21" s="26"/>
      <c r="D21" s="32"/>
      <c r="E21" s="28">
        <f t="shared" ref="E21:E29" si="1">L21</f>
        <v>295.56</v>
      </c>
      <c r="F21" s="28">
        <f t="shared" ref="F21:F29" si="2">M21</f>
        <v>2955.6</v>
      </c>
      <c r="G21" s="29">
        <f t="shared" si="0"/>
        <v>1975.24</v>
      </c>
      <c r="H21" s="29"/>
      <c r="I21" s="29">
        <f>H21*$H$18</f>
      </c>
      <c r="J21" s="30"/>
      <c r="K21" s="30"/>
      <c r="L21" s="31">
        <f t="shared" ref="L21:L29" si="3">ROUND(G21/J21*K21,2)</f>
        <v>295.56</v>
      </c>
      <c r="M21" s="31">
        <f t="shared" ref="M21:M29" si="4">L21*C21</f>
        <v>2955.6</v>
      </c>
      <c r="N21" s="24"/>
    </row>
    <row r="22" ht="32" customHeight="1" spans="1:14" s="17" customFormat="1" x14ac:dyDescent="0.25">
      <c r="A22" s="25">
        <v>3</v>
      </c>
      <c r="B22" s="25"/>
      <c r="C22" s="26"/>
      <c r="D22" s="32"/>
      <c r="E22" s="28">
        <f t="shared" si="1"/>
        <v>282.37</v>
      </c>
      <c r="F22" s="28">
        <f t="shared" si="2"/>
        <v>22589.6</v>
      </c>
      <c r="G22" s="29">
        <f t="shared" si="0"/>
        <v>1887.1</v>
      </c>
      <c r="H22" s="29"/>
      <c r="I22" s="29">
        <f>H22*$H$18</f>
      </c>
      <c r="J22" s="30"/>
      <c r="K22" s="30"/>
      <c r="L22" s="31">
        <f t="shared" si="3"/>
        <v>282.37</v>
      </c>
      <c r="M22" s="31">
        <f t="shared" si="4"/>
        <v>22589.6</v>
      </c>
      <c r="N22" s="24"/>
    </row>
    <row r="23" ht="32" customHeight="1" spans="1:14" s="17" customFormat="1" x14ac:dyDescent="0.25">
      <c r="A23" s="25">
        <v>4</v>
      </c>
      <c r="B23" s="25"/>
      <c r="C23" s="26"/>
      <c r="D23" s="32"/>
      <c r="E23" s="28">
        <f t="shared" si="1"/>
        <v>320.25</v>
      </c>
      <c r="F23" s="28">
        <f t="shared" si="2"/>
        <v>9607.5</v>
      </c>
      <c r="G23" s="29">
        <f t="shared" si="0"/>
        <v>2140.22</v>
      </c>
      <c r="H23" s="29"/>
      <c r="I23" s="29">
        <f>H23*$H$18</f>
      </c>
      <c r="J23" s="30"/>
      <c r="K23" s="30"/>
      <c r="L23" s="31">
        <f t="shared" si="3"/>
        <v>320.25</v>
      </c>
      <c r="M23" s="31">
        <f t="shared" si="4"/>
        <v>9607.5</v>
      </c>
      <c r="N23" s="24"/>
    </row>
    <row r="24" ht="32" customHeight="1" spans="1:14" s="17" customFormat="1" x14ac:dyDescent="0.25">
      <c r="A24" s="25">
        <v>5</v>
      </c>
      <c r="B24" s="25"/>
      <c r="C24" s="26"/>
      <c r="D24" s="32"/>
      <c r="E24" s="28">
        <f t="shared" si="1"/>
        <v>634.07</v>
      </c>
      <c r="F24" s="28">
        <f t="shared" si="2"/>
        <v>5706.63</v>
      </c>
      <c r="G24" s="29">
        <f t="shared" si="0"/>
        <v>4237.5</v>
      </c>
      <c r="H24" s="29"/>
      <c r="I24" s="29">
        <f>H24*$H$18</f>
      </c>
      <c r="J24" s="30"/>
      <c r="K24" s="30"/>
      <c r="L24" s="31">
        <f t="shared" si="3"/>
        <v>634.07</v>
      </c>
      <c r="M24" s="31">
        <f t="shared" si="4"/>
        <v>5706.63</v>
      </c>
      <c r="N24" s="24"/>
    </row>
    <row r="25" ht="32" customHeight="1" spans="1:14" s="17" customFormat="1" x14ac:dyDescent="0.25">
      <c r="A25" s="25">
        <v>6</v>
      </c>
      <c r="B25" s="25"/>
      <c r="C25" s="26"/>
      <c r="D25" s="32"/>
      <c r="E25" s="28">
        <f t="shared" si="1"/>
        <v>607.01</v>
      </c>
      <c r="F25" s="28">
        <f t="shared" si="2"/>
        <v>18210.3</v>
      </c>
      <c r="G25" s="29">
        <f t="shared" si="0"/>
        <v>4056.7</v>
      </c>
      <c r="H25" s="29"/>
      <c r="I25" s="29">
        <f>H25*$H$18</f>
      </c>
      <c r="J25" s="30"/>
      <c r="K25" s="30"/>
      <c r="L25" s="31">
        <f t="shared" si="3"/>
        <v>607.01</v>
      </c>
      <c r="M25" s="31">
        <f t="shared" si="4"/>
        <v>18210.3</v>
      </c>
      <c r="N25" s="24"/>
    </row>
    <row r="26" ht="32" customHeight="1" spans="1:14" s="17" customFormat="1" x14ac:dyDescent="0.25">
      <c r="A26" s="25">
        <v>7</v>
      </c>
      <c r="B26" s="25"/>
      <c r="C26" s="26"/>
      <c r="D26" s="32"/>
      <c r="E26" s="28">
        <f t="shared" si="1"/>
        <v>124.95</v>
      </c>
      <c r="F26" s="28">
        <f t="shared" si="2"/>
        <v>12495</v>
      </c>
      <c r="G26" s="29">
        <f t="shared" si="0"/>
        <v>835.07</v>
      </c>
      <c r="H26" s="29"/>
      <c r="I26" s="29">
        <f>H26*$H$18</f>
      </c>
      <c r="J26" s="30"/>
      <c r="K26" s="30"/>
      <c r="L26" s="31">
        <f t="shared" si="3"/>
        <v>124.95</v>
      </c>
      <c r="M26" s="31">
        <f t="shared" si="4"/>
        <v>12495</v>
      </c>
      <c r="N26" s="24"/>
    </row>
    <row r="27" ht="32" customHeight="1" spans="1:14" s="17" customFormat="1" x14ac:dyDescent="0.25">
      <c r="A27" s="25">
        <v>8</v>
      </c>
      <c r="B27" s="25"/>
      <c r="C27" s="26"/>
      <c r="D27" s="32"/>
      <c r="E27" s="28">
        <f t="shared" si="1"/>
        <v>449.77</v>
      </c>
      <c r="F27" s="28">
        <f t="shared" si="2"/>
        <v>22488.5</v>
      </c>
      <c r="G27" s="29">
        <f t="shared" si="0"/>
        <v>3005.8</v>
      </c>
      <c r="H27" s="29"/>
      <c r="I27" s="29">
        <f>H27*$H$18</f>
      </c>
      <c r="J27" s="30"/>
      <c r="K27" s="30"/>
      <c r="L27" s="31">
        <f t="shared" si="3"/>
        <v>449.77</v>
      </c>
      <c r="M27" s="31">
        <f t="shared" si="4"/>
        <v>22488.5</v>
      </c>
      <c r="N27" s="24"/>
    </row>
    <row r="28" ht="32" customHeight="1" spans="1:14" s="17" customFormat="1" x14ac:dyDescent="0.25">
      <c r="A28" s="25">
        <v>9</v>
      </c>
      <c r="B28" s="25"/>
      <c r="C28" s="26"/>
      <c r="D28" s="32"/>
      <c r="E28" s="28">
        <f t="shared" si="1"/>
        <v>155.03</v>
      </c>
      <c r="F28" s="28">
        <f t="shared" si="2"/>
        <v>3565.69</v>
      </c>
      <c r="G28" s="33">
        <f t="shared" si="0"/>
        <v>1036.08695652174</v>
      </c>
      <c r="H28" s="33"/>
      <c r="I28" s="33">
        <f>H28*$H$18</f>
      </c>
      <c r="J28" s="34"/>
      <c r="K28" s="34"/>
      <c r="L28" s="33">
        <f t="shared" si="3"/>
        <v>155.03</v>
      </c>
      <c r="M28" s="33">
        <f t="shared" si="4"/>
        <v>3565.69</v>
      </c>
      <c r="N28" s="24"/>
    </row>
    <row r="29" ht="32" customHeight="1" spans="1:14" s="17" customFormat="1" x14ac:dyDescent="0.25">
      <c r="A29" s="25">
        <v>10</v>
      </c>
      <c r="B29" s="25"/>
      <c r="C29" s="26"/>
      <c r="D29" s="32"/>
      <c r="E29" s="28">
        <f t="shared" si="1"/>
        <v>14.99</v>
      </c>
      <c r="F29" s="28">
        <f t="shared" si="2"/>
        <v>599.6</v>
      </c>
      <c r="G29" s="33">
        <f t="shared" si="0"/>
        <v>100.21075</v>
      </c>
      <c r="H29" s="33"/>
      <c r="I29" s="33">
        <f>H29*$H$18</f>
      </c>
      <c r="J29" s="34"/>
      <c r="K29" s="34"/>
      <c r="L29" s="33">
        <f t="shared" si="3"/>
        <v>14.99</v>
      </c>
      <c r="M29" s="33">
        <f t="shared" si="4"/>
        <v>599.6</v>
      </c>
      <c r="N29" s="24"/>
    </row>
    <row r="30" ht="25" customHeight="1" hidden="1" spans="1:14" s="17" customFormat="1" x14ac:dyDescent="0.25">
      <c r="A30" s="25">
        <v>11</v>
      </c>
      <c r="B30" s="25"/>
      <c r="C30" s="35"/>
      <c r="D30" s="32"/>
      <c r="E30" s="28"/>
      <c r="F30" s="28"/>
      <c r="G30" s="33"/>
      <c r="H30" s="33"/>
      <c r="I30" s="33">
        <f>H30*$H$18</f>
      </c>
      <c r="J30" s="33"/>
      <c r="K30" s="33"/>
      <c r="L30" s="33"/>
      <c r="M30" s="33"/>
      <c r="N30" s="24"/>
    </row>
    <row r="31" ht="25" customHeight="1" hidden="1" spans="1:14" s="17" customFormat="1" x14ac:dyDescent="0.25">
      <c r="A31" s="25">
        <v>12</v>
      </c>
      <c r="B31" s="25"/>
      <c r="C31" s="35"/>
      <c r="D31" s="32"/>
      <c r="E31" s="28"/>
      <c r="F31" s="28"/>
      <c r="G31" s="33"/>
      <c r="H31" s="33"/>
      <c r="I31" s="33">
        <f>H31*$H$18</f>
      </c>
      <c r="J31" s="33"/>
      <c r="K31" s="33"/>
      <c r="L31" s="33"/>
      <c r="M31" s="33"/>
      <c r="N31" s="24"/>
    </row>
    <row r="32" ht="25" customHeight="1" hidden="1" spans="1:14" s="17" customFormat="1" x14ac:dyDescent="0.25">
      <c r="A32" s="25">
        <v>13</v>
      </c>
      <c r="B32" s="25"/>
      <c r="C32" s="35"/>
      <c r="D32" s="32"/>
      <c r="E32" s="28"/>
      <c r="F32" s="28"/>
      <c r="G32" s="33"/>
      <c r="H32" s="33"/>
      <c r="I32" s="33">
        <f>H32*$H$18</f>
      </c>
      <c r="J32" s="33"/>
      <c r="K32" s="33"/>
      <c r="L32" s="33"/>
      <c r="M32" s="33"/>
      <c r="N32" s="24"/>
    </row>
    <row r="33" ht="25" customHeight="1" hidden="1" spans="1:14" s="17" customFormat="1" x14ac:dyDescent="0.25">
      <c r="A33" s="25">
        <v>14</v>
      </c>
      <c r="B33" s="25"/>
      <c r="C33" s="35"/>
      <c r="D33" s="32"/>
      <c r="E33" s="28"/>
      <c r="F33" s="28"/>
      <c r="G33" s="33"/>
      <c r="H33" s="33"/>
      <c r="I33" s="33">
        <f>H33*$H$18</f>
      </c>
      <c r="J33" s="33"/>
      <c r="K33" s="33"/>
      <c r="L33" s="33"/>
      <c r="M33" s="33"/>
      <c r="N33" s="24"/>
    </row>
    <row r="34" ht="25" customHeight="1" hidden="1" spans="1:14" s="17" customFormat="1" x14ac:dyDescent="0.25">
      <c r="A34" s="25">
        <v>15</v>
      </c>
      <c r="B34" s="25"/>
      <c r="C34" s="35"/>
      <c r="D34" s="32"/>
      <c r="E34" s="28"/>
      <c r="F34" s="28"/>
      <c r="G34" s="33"/>
      <c r="H34" s="33"/>
      <c r="I34" s="33">
        <f>H34*$H$18</f>
      </c>
      <c r="J34" s="33"/>
      <c r="K34" s="33"/>
      <c r="L34" s="33"/>
      <c r="M34" s="33"/>
      <c r="N34" s="24"/>
    </row>
    <row r="35" ht="25" customHeight="1" hidden="1" spans="1:14" s="17" customFormat="1" x14ac:dyDescent="0.25">
      <c r="A35" s="25">
        <v>16</v>
      </c>
      <c r="B35" s="25"/>
      <c r="C35" s="35"/>
      <c r="D35" s="32"/>
      <c r="E35" s="28"/>
      <c r="F35" s="28"/>
      <c r="G35" s="33"/>
      <c r="H35" s="33"/>
      <c r="I35" s="33">
        <f>H35*$H$18</f>
      </c>
      <c r="J35" s="33"/>
      <c r="K35" s="33"/>
      <c r="L35" s="33"/>
      <c r="M35" s="33"/>
      <c r="N35" s="24"/>
    </row>
    <row r="36" ht="25" customHeight="1" spans="1:14" s="17" customFormat="1" x14ac:dyDescent="0.25">
      <c r="A36" s="36" t="s">
        <v>26</v>
      </c>
      <c r="B36" s="37"/>
      <c r="C36" s="37"/>
      <c r="D36" s="37"/>
      <c r="E36" s="38"/>
      <c r="F36" s="39">
        <f>SUM(F20:F35)</f>
        <v>103527.62</v>
      </c>
      <c r="G36" s="40"/>
      <c r="H36" s="33">
        <f>SUM(H20:H27)</f>
        <v>587650</v>
      </c>
      <c r="I36" s="33">
        <f>SUM(I20:I27)</f>
        <v>664044.5</v>
      </c>
      <c r="J36" s="33"/>
      <c r="K36" s="33"/>
      <c r="L36" s="33"/>
      <c r="M36" s="33">
        <f>SUM(M20:M27)</f>
        <v>99362.33</v>
      </c>
      <c r="N36" s="24"/>
    </row>
    <row r="37" ht="20.1" customHeight="1" spans="7:13" x14ac:dyDescent="0.25">
      <c r="G37" s="41"/>
      <c r="H37" s="42"/>
      <c r="I37" s="42">
        <f>H37*$H$18</f>
        <v>88987.5</v>
      </c>
      <c r="J37" s="42"/>
      <c r="K37" s="42"/>
      <c r="L37" s="42"/>
      <c r="M37" s="42"/>
    </row>
    <row r="38" ht="20.1" customHeight="1" spans="1:13" x14ac:dyDescent="0.25">
      <c r="A38" s="43" t="s">
        <v>27</v>
      </c>
      <c r="B38" s="13" t="s">
        <v>28</v>
      </c>
      <c r="G38" s="41"/>
      <c r="H38" s="42"/>
      <c r="I38" s="42">
        <f>H38*$H$18</f>
        <v>84750</v>
      </c>
      <c r="J38" s="44" t="s">
        <v>29</v>
      </c>
      <c r="K38" s="42"/>
      <c r="L38" s="42"/>
      <c r="M38" s="42"/>
    </row>
    <row r="39" ht="20.1" customHeight="1" spans="1:13" x14ac:dyDescent="0.25">
      <c r="A39" s="43" t="s">
        <v>30</v>
      </c>
      <c r="B39" s="13" t="s">
        <v>31</v>
      </c>
      <c r="G39" s="41"/>
      <c r="H39" s="42"/>
      <c r="I39" s="42">
        <f>SUM(I36:I38)</f>
        <v>837782</v>
      </c>
      <c r="J39" s="42"/>
      <c r="K39" s="42"/>
      <c r="L39" s="42"/>
      <c r="M39" s="42"/>
    </row>
    <row r="40" ht="20.1" customHeight="1" spans="1:9" x14ac:dyDescent="0.25">
      <c r="A40" s="43" t="s">
        <v>32</v>
      </c>
      <c r="B40" s="45"/>
      <c r="H40" s="46"/>
      <c r="I40" s="46"/>
    </row>
    <row r="41" ht="20.1" customHeight="1" spans="1:13" x14ac:dyDescent="0.25">
      <c r="A41" s="43" t="s">
        <v>33</v>
      </c>
      <c r="B41" s="13"/>
      <c r="G41" s="47" t="s">
        <v>34</v>
      </c>
      <c r="H41" s="48"/>
      <c r="I41" s="48">
        <f t="shared" ref="I41:M41" si="5">SUM(I28:I36)</f>
        <v>691882.93</v>
      </c>
      <c r="J41" s="49">
        <v>6.8167</v>
      </c>
      <c r="K41" s="49">
        <v>1.02</v>
      </c>
      <c r="L41" s="48">
        <f t="shared" si="5"/>
        <v>170.02</v>
      </c>
      <c r="M41" s="48">
        <f t="shared" si="5"/>
        <v>103527.62</v>
      </c>
    </row>
    <row r="42" ht="20.1" customHeight="1" spans="1:2" x14ac:dyDescent="0.25">
      <c r="A42" s="43" t="s">
        <v>35</v>
      </c>
      <c r="B42" s="45" t="s">
        <v>36</v>
      </c>
    </row>
    <row r="43" ht="20.1" customHeight="1" spans="1:2" x14ac:dyDescent="0.25">
      <c r="A43" s="43" t="s">
        <v>37</v>
      </c>
      <c r="B43" s="13" t="s">
        <v>38</v>
      </c>
    </row>
    <row r="44" ht="20.1" customHeight="1" x14ac:dyDescent="0.25"/>
    <row r="45" ht="114" customHeight="1" spans="1:6" x14ac:dyDescent="0.25">
      <c r="A45" s="16" t="s">
        <v>39</v>
      </c>
      <c r="B45" s="16"/>
      <c r="C45" s="16"/>
      <c r="D45" s="16"/>
      <c r="E45" s="16"/>
      <c r="F45" s="16"/>
    </row>
    <row r="46" ht="20.1" customHeight="1" spans="8:9" x14ac:dyDescent="0.25">
      <c r="H46" s="50" t="s">
        <v>40</v>
      </c>
      <c r="I46" s="51">
        <v>837782</v>
      </c>
    </row>
    <row r="47" ht="68.1" customHeight="1" spans="1:9" x14ac:dyDescent="0.25">
      <c r="A47" s="16" t="s">
        <v>41</v>
      </c>
      <c r="B47" s="16"/>
      <c r="C47" s="16"/>
      <c r="D47" s="16"/>
      <c r="E47" s="16"/>
      <c r="F47" s="16"/>
      <c r="H47" s="50" t="s">
        <v>42</v>
      </c>
      <c r="I47" s="51">
        <v>84750</v>
      </c>
    </row>
    <row r="48" ht="20.1" customHeight="1" spans="8:9" x14ac:dyDescent="0.25">
      <c r="H48" s="52" t="s">
        <v>43</v>
      </c>
      <c r="I48" s="51">
        <f>837782*0.3</f>
        <v>251334.6</v>
      </c>
    </row>
    <row r="49" ht="137" customHeight="1" spans="1:9" x14ac:dyDescent="0.25">
      <c r="A49" s="16" t="s">
        <v>44</v>
      </c>
      <c r="B49" s="16"/>
      <c r="C49" s="16"/>
      <c r="D49" s="16"/>
      <c r="E49" s="16"/>
      <c r="F49" s="16"/>
      <c r="H49" s="50" t="s">
        <v>45</v>
      </c>
      <c r="I49" s="51">
        <v>78750</v>
      </c>
    </row>
    <row r="50" ht="20.1" customHeight="1" spans="8:9" x14ac:dyDescent="0.25">
      <c r="H50" s="50" t="s">
        <v>46</v>
      </c>
      <c r="I50" s="51">
        <f>I46-I47-I48-I49</f>
        <v>422947.4</v>
      </c>
    </row>
    <row r="51" ht="102" customHeight="1" spans="1:6" x14ac:dyDescent="0.25">
      <c r="A51" s="16" t="s">
        <v>47</v>
      </c>
      <c r="B51" s="16"/>
      <c r="C51" s="16"/>
      <c r="D51" s="16"/>
      <c r="E51" s="16"/>
      <c r="F51" s="16"/>
    </row>
    <row r="52" ht="20.1" customHeight="1" x14ac:dyDescent="0.25"/>
    <row r="53" ht="20.1" customHeight="1" x14ac:dyDescent="0.25"/>
    <row r="54" ht="20.1" customHeight="1" spans="1:1" x14ac:dyDescent="0.25">
      <c r="A54" s="13"/>
    </row>
    <row r="55" ht="20.1" customHeight="1" spans="1:4" x14ac:dyDescent="0.25">
      <c r="A55" s="13"/>
      <c r="D55" s="13"/>
    </row>
    <row r="56" ht="20.1" customHeight="1" spans="1:4" x14ac:dyDescent="0.25">
      <c r="A56" s="13"/>
      <c r="D56" s="13"/>
    </row>
    <row r="57" ht="20.1" customHeight="1" spans="1:4" x14ac:dyDescent="0.25">
      <c r="A57" s="13"/>
      <c r="D57" s="13"/>
    </row>
    <row r="58" ht="20.1" customHeight="1" spans="1:4" x14ac:dyDescent="0.25">
      <c r="A58" s="13"/>
      <c r="D58" s="13"/>
    </row>
    <row r="59" ht="20.1" customHeight="1" spans="1:4" x14ac:dyDescent="0.25">
      <c r="A59" s="13"/>
      <c r="D59" s="13"/>
    </row>
    <row r="60" ht="20.1" customHeight="1" spans="1:4" x14ac:dyDescent="0.25">
      <c r="A60" s="13"/>
      <c r="D60" s="13"/>
    </row>
    <row r="61" ht="20.1" customHeight="1" spans="1:4" x14ac:dyDescent="0.25">
      <c r="A61" s="13"/>
      <c r="D61" s="13"/>
    </row>
    <row r="62" ht="20.1" customHeight="1" spans="1:4" x14ac:dyDescent="0.25">
      <c r="A62" s="13"/>
      <c r="D62" s="13"/>
    </row>
    <row r="63" ht="35.1" customHeight="1" spans="1:4" x14ac:dyDescent="0.25">
      <c r="A63" s="10" t="s">
        <v>48</v>
      </c>
      <c r="B63" s="11" t="s">
        <v>4</v>
      </c>
      <c r="D63" s="10" t="s">
        <v>49</v>
      </c>
    </row>
    <row r="64" ht="20.1" customHeight="1" x14ac:dyDescent="0.25"/>
    <row r="65" ht="20.1" customHeight="1" x14ac:dyDescent="0.25"/>
    <row r="66" ht="20.1" customHeight="1" x14ac:dyDescent="0.25"/>
    <row r="67" ht="20.1" customHeight="1" x14ac:dyDescent="0.25"/>
    <row r="68" ht="20.1" customHeight="1" x14ac:dyDescent="0.25"/>
    <row r="69" ht="20.1" customHeight="1" x14ac:dyDescent="0.25"/>
    <row r="70" ht="20.1" customHeight="1" x14ac:dyDescent="0.25"/>
    <row r="71" ht="20.1" customHeight="1" x14ac:dyDescent="0.25"/>
    <row r="72" ht="20.1" customHeight="1" x14ac:dyDescent="0.25"/>
    <row r="73" ht="20.1" customHeight="1" x14ac:dyDescent="0.25"/>
    <row r="74" ht="20.1" customHeight="1" x14ac:dyDescent="0.25"/>
    <row r="75" ht="20.1" customHeight="1" x14ac:dyDescent="0.25"/>
    <row r="76" ht="20.1" customHeight="1" x14ac:dyDescent="0.25"/>
    <row r="77" ht="20.1" customHeight="1" x14ac:dyDescent="0.25"/>
    <row r="78" ht="20.1" customHeight="1" x14ac:dyDescent="0.25"/>
    <row r="79" ht="20.1" customHeight="1" x14ac:dyDescent="0.25"/>
    <row r="80" ht="20.1" customHeight="1" x14ac:dyDescent="0.25"/>
    <row r="81" ht="20.1" customHeight="1" x14ac:dyDescent="0.25"/>
    <row r="82" ht="20.1" customHeight="1" x14ac:dyDescent="0.25"/>
    <row r="83" ht="20.1" customHeight="1" x14ac:dyDescent="0.25"/>
    <row r="84" ht="20.1" customHeight="1" x14ac:dyDescent="0.25"/>
    <row r="85" ht="20.1" customHeight="1" x14ac:dyDescent="0.25"/>
    <row r="86" ht="20.1" customHeight="1" x14ac:dyDescent="0.25"/>
    <row r="87" ht="20.1" customHeight="1" x14ac:dyDescent="0.25"/>
    <row r="88" ht="20.1" customHeight="1" x14ac:dyDescent="0.25"/>
    <row r="89" ht="20.1" customHeight="1" x14ac:dyDescent="0.25"/>
    <row r="90" ht="20.1" customHeight="1" x14ac:dyDescent="0.25"/>
    <row r="91" ht="20.1" customHeight="1" x14ac:dyDescent="0.25"/>
    <row r="92" ht="20.1" customHeight="1" x14ac:dyDescent="0.25"/>
    <row r="93" ht="20.1" customHeight="1" x14ac:dyDescent="0.25"/>
    <row r="94" ht="20.1" customHeight="1" x14ac:dyDescent="0.25"/>
    <row r="95" ht="20.1" customHeight="1" x14ac:dyDescent="0.25"/>
    <row r="96" ht="20.1" customHeight="1" x14ac:dyDescent="0.25"/>
    <row r="97" ht="20.1" customHeight="1" x14ac:dyDescent="0.25"/>
    <row r="98" ht="20.1" customHeight="1" x14ac:dyDescent="0.25"/>
    <row r="99" ht="20.1" customHeight="1" x14ac:dyDescent="0.25"/>
    <row r="100" ht="20.1" customHeight="1" x14ac:dyDescent="0.25"/>
    <row r="101" ht="20.1" customHeight="1" x14ac:dyDescent="0.25"/>
    <row r="102" ht="20.1" customHeight="1" x14ac:dyDescent="0.25"/>
    <row r="103" ht="20.1" customHeight="1" x14ac:dyDescent="0.25"/>
    <row r="104" ht="20.1" customHeight="1" x14ac:dyDescent="0.25"/>
    <row r="105" ht="20.1" customHeight="1" x14ac:dyDescent="0.25"/>
    <row r="106" ht="20.1" customHeight="1" x14ac:dyDescent="0.25"/>
    <row r="107" ht="20.1" customHeight="1" x14ac:dyDescent="0.25"/>
    <row r="108" ht="20.1" customHeight="1" x14ac:dyDescent="0.25"/>
    <row r="109" ht="20.1" customHeight="1" x14ac:dyDescent="0.25"/>
    <row r="110" ht="20.1" customHeight="1" x14ac:dyDescent="0.25"/>
    <row r="111" ht="20.1" customHeight="1" x14ac:dyDescent="0.25"/>
    <row r="112" ht="20.1" customHeight="1" x14ac:dyDescent="0.25"/>
    <row r="113" ht="20.1" customHeight="1" x14ac:dyDescent="0.25"/>
    <row r="114" ht="20.1" customHeight="1" x14ac:dyDescent="0.25"/>
    <row r="115" ht="20.1" customHeight="1" x14ac:dyDescent="0.25"/>
    <row r="116" ht="20.1" customHeight="1" x14ac:dyDescent="0.25"/>
    <row r="117" ht="20.1" customHeight="1" x14ac:dyDescent="0.25"/>
    <row r="118" ht="20.1" customHeight="1" x14ac:dyDescent="0.25"/>
    <row r="119" ht="20.1" customHeight="1" x14ac:dyDescent="0.25"/>
    <row r="120" ht="20.1" customHeight="1" x14ac:dyDescent="0.25"/>
    <row r="121" ht="20.1" customHeight="1" x14ac:dyDescent="0.25"/>
    <row r="122" ht="20.1" customHeight="1" x14ac:dyDescent="0.25"/>
    <row r="123" ht="20.1" customHeight="1" x14ac:dyDescent="0.25"/>
    <row r="124" ht="20.1" customHeight="1" x14ac:dyDescent="0.25"/>
    <row r="125" ht="20.1" customHeight="1" x14ac:dyDescent="0.25"/>
    <row r="126" ht="20.1" customHeight="1" x14ac:dyDescent="0.25"/>
    <row r="127" ht="20.1" customHeight="1" x14ac:dyDescent="0.25"/>
    <row r="128" ht="20.1" customHeight="1" x14ac:dyDescent="0.25"/>
  </sheetData>
  <mergeCells count="11">
    <mergeCell ref="A1:F1"/>
    <mergeCell ref="E3:F3"/>
    <mergeCell ref="E4:F4"/>
    <mergeCell ref="E5:F5"/>
    <mergeCell ref="B8:F8"/>
    <mergeCell ref="A17:F17"/>
    <mergeCell ref="A36:E36"/>
    <mergeCell ref="A45:F45"/>
    <mergeCell ref="A47:F47"/>
    <mergeCell ref="A49:F49"/>
    <mergeCell ref="A51:F51"/>
  </mergeCells>
  <pageMargins left="0.75" right="0.75" top="1" bottom="1" header="0.5" footer="0.5"/>
  <pageSetup paperSize="9" orientation="portrait" horizontalDpi="4294967295" verticalDpi="4294967295" scale="65"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P54"/>
  <sheetViews>
    <sheetView workbookViewId="0" zoomScale="110" zoomScaleNormal="110">
      <selection activeCell="P46" sqref="P46"/>
    </sheetView>
  </sheetViews>
  <sheetFormatPr defaultRowHeight="12.75" outlineLevelRow="0" outlineLevelCol="0" x14ac:dyDescent="0" defaultColWidth="8.85714285714286" customHeight="1"/>
  <cols>
    <col min="1" max="1" width="9" style="88" customWidth="1"/>
    <col min="2" max="2" width="13.2" style="88" customWidth="1"/>
    <col min="3" max="3" width="17.1428571428571" style="89" customWidth="1"/>
    <col min="4" max="4" width="14.2761904761905" style="88" customWidth="1"/>
    <col min="5" max="5" width="8.54285714285714" style="88" customWidth="1"/>
    <col min="6" max="6" width="7.6952380952381" style="88" customWidth="1"/>
    <col min="7" max="7" width="8.44761904761905" style="88" customWidth="1"/>
    <col min="8" max="8" width="4.90476190476191" style="88" customWidth="1"/>
    <col min="9" max="9" width="8.1047619047619" style="88" customWidth="1"/>
    <col min="10" max="10" width="9.28571428571429" style="88" customWidth="1"/>
    <col min="11" max="11" width="4.4" style="88" customWidth="1"/>
    <col min="12" max="13" width="11.4" style="88" customWidth="1"/>
    <col min="14" max="14" width="11" style="88" customWidth="1"/>
    <col min="15" max="15" width="13.2666666666667" style="88" customWidth="1"/>
    <col min="16" max="16" width="68.2571428571429" style="90" customWidth="1"/>
    <col min="17" max="18" width="9.85714285714286" style="88" customWidth="1"/>
    <col min="19" max="19" width="10.1428571428571" style="88" customWidth="1"/>
    <col min="20" max="16382" width="9.85714285714286" style="88" customWidth="1"/>
    <col min="16383" max="16384" width="8.85714285714286" style="88" customWidth="1"/>
  </cols>
  <sheetData>
    <row r="2" ht="25" customHeight="1" x14ac:dyDescent="0.25"/>
    <row r="3" spans="1:15" x14ac:dyDescent="0.25">
      <c r="A3" s="91" t="s">
        <v>85</v>
      </c>
      <c r="B3" s="92"/>
      <c r="C3" s="93"/>
      <c r="D3" s="92"/>
      <c r="E3" s="92"/>
      <c r="F3" s="92"/>
      <c r="G3" s="92"/>
      <c r="H3" s="92"/>
      <c r="I3" s="92"/>
      <c r="J3" s="92"/>
      <c r="K3" s="92"/>
      <c r="L3" s="92"/>
      <c r="M3" s="92"/>
      <c r="N3" s="92"/>
      <c r="O3" s="94"/>
    </row>
    <row r="4" ht="25.5" customHeight="1" spans="1:15" x14ac:dyDescent="0.25">
      <c r="A4" s="95"/>
      <c r="B4" s="96"/>
      <c r="C4" s="97"/>
      <c r="D4" s="96"/>
      <c r="E4" s="96"/>
      <c r="F4" s="96"/>
      <c r="G4" s="96"/>
      <c r="H4" s="96"/>
      <c r="I4" s="96"/>
      <c r="J4" s="96"/>
      <c r="K4" s="96"/>
      <c r="L4" s="96"/>
      <c r="M4" s="96"/>
      <c r="N4" s="96"/>
      <c r="O4" s="98"/>
    </row>
    <row r="5" spans="1:15" x14ac:dyDescent="0.25">
      <c r="A5" s="95" t="s">
        <v>86</v>
      </c>
      <c r="B5" s="96"/>
      <c r="C5" s="97" t="s">
        <v>87</v>
      </c>
      <c r="D5" s="96"/>
      <c r="E5" s="96"/>
      <c r="F5" s="96"/>
      <c r="G5" s="99" t="s">
        <v>88</v>
      </c>
      <c r="H5" s="99"/>
      <c r="I5" s="99"/>
      <c r="J5" s="99"/>
      <c r="K5" s="99"/>
      <c r="L5" s="100"/>
      <c r="M5" s="100"/>
      <c r="N5" s="96"/>
      <c r="O5" s="101" t="s">
        <v>89</v>
      </c>
    </row>
    <row r="6" ht="5" customHeight="1" spans="1:15" x14ac:dyDescent="0.25">
      <c r="A6" s="95"/>
      <c r="B6" s="96"/>
      <c r="C6" s="96"/>
      <c r="D6" s="97"/>
      <c r="E6" s="96"/>
      <c r="F6" s="96"/>
      <c r="G6" s="96"/>
      <c r="H6" s="96"/>
      <c r="I6" s="96"/>
      <c r="J6" s="96"/>
      <c r="K6" s="96"/>
      <c r="L6" s="96"/>
      <c r="M6" s="96"/>
      <c r="N6" s="96"/>
      <c r="O6" s="101"/>
    </row>
    <row r="7" ht="12.2" customHeight="1" spans="1:15" x14ac:dyDescent="0.25">
      <c r="A7" s="102" t="s">
        <v>90</v>
      </c>
      <c r="B7" s="103"/>
      <c r="C7" s="103"/>
      <c r="D7" s="104" t="s">
        <v>91</v>
      </c>
      <c r="E7" s="103"/>
      <c r="F7" s="103"/>
      <c r="G7" s="105" t="s">
        <v>92</v>
      </c>
      <c r="H7" s="103"/>
      <c r="I7" s="103"/>
      <c r="J7" s="103"/>
      <c r="K7" s="106"/>
      <c r="L7" s="103" t="s">
        <v>93</v>
      </c>
      <c r="M7" s="106"/>
      <c r="N7" s="103" t="s">
        <v>94</v>
      </c>
      <c r="O7" s="107"/>
    </row>
    <row r="8" ht="15" customHeight="1" spans="1:15" x14ac:dyDescent="0.25">
      <c r="A8" s="108" t="s">
        <v>95</v>
      </c>
      <c r="B8" s="109"/>
      <c r="C8" s="109"/>
      <c r="D8" s="110"/>
      <c r="E8" s="96"/>
      <c r="F8" s="96"/>
      <c r="G8" s="111"/>
      <c r="H8" s="109"/>
      <c r="I8" s="109"/>
      <c r="J8" s="109"/>
      <c r="K8" s="112"/>
      <c r="L8" s="111"/>
      <c r="M8" s="112"/>
      <c r="N8" s="111"/>
      <c r="O8" s="113"/>
    </row>
    <row r="9" ht="12.2" customHeight="1" spans="1:15" x14ac:dyDescent="0.25">
      <c r="A9" s="95" t="s">
        <v>96</v>
      </c>
      <c r="B9" s="96"/>
      <c r="C9" s="96"/>
      <c r="D9" s="104" t="s">
        <v>97</v>
      </c>
      <c r="E9" s="103"/>
      <c r="F9" s="103"/>
      <c r="G9" s="114" t="s">
        <v>98</v>
      </c>
      <c r="H9" s="96"/>
      <c r="I9" s="96"/>
      <c r="J9" s="96"/>
      <c r="K9" s="115"/>
      <c r="L9" s="114" t="s">
        <v>99</v>
      </c>
      <c r="M9" s="96"/>
      <c r="N9" s="96"/>
      <c r="O9" s="101"/>
    </row>
    <row r="10" ht="15" customHeight="1" spans="1:15" x14ac:dyDescent="0.25">
      <c r="A10" s="95" t="str">
        <f>'Sales Contract'!B11</f>
        <v>CSQUARE STEEL CO., LIMITED</v>
      </c>
      <c r="B10" s="116"/>
      <c r="C10" s="116"/>
      <c r="D10" s="110" t="s">
        <v>100</v>
      </c>
      <c r="E10" s="96"/>
      <c r="F10" s="96"/>
      <c r="G10" s="114"/>
      <c r="H10" s="96"/>
      <c r="I10" s="96"/>
      <c r="J10" s="96"/>
      <c r="K10" s="115"/>
      <c r="L10" s="114"/>
      <c r="M10" s="96"/>
      <c r="N10" s="96"/>
      <c r="O10" s="101"/>
    </row>
    <row r="11" ht="12.2" customHeight="1" spans="1:15" x14ac:dyDescent="0.25">
      <c r="A11" s="102" t="s">
        <v>101</v>
      </c>
      <c r="B11" s="103"/>
      <c r="C11" s="103"/>
      <c r="D11" s="104" t="s">
        <v>102</v>
      </c>
      <c r="E11" s="103"/>
      <c r="F11" s="103"/>
      <c r="G11" s="105" t="s">
        <v>103</v>
      </c>
      <c r="H11" s="103"/>
      <c r="I11" s="103"/>
      <c r="J11" s="103"/>
      <c r="K11" s="106"/>
      <c r="L11" s="103" t="s">
        <v>104</v>
      </c>
      <c r="M11" s="103"/>
      <c r="N11" s="103"/>
      <c r="O11" s="107"/>
    </row>
    <row r="12" ht="15" customHeight="1" spans="1:15" x14ac:dyDescent="0.25">
      <c r="A12" s="108" t="s">
        <v>95</v>
      </c>
      <c r="B12" s="109"/>
      <c r="C12" s="109"/>
      <c r="D12" s="110" t="s">
        <v>105</v>
      </c>
      <c r="E12" s="96"/>
      <c r="F12" s="96"/>
      <c r="G12" s="111" t="s">
        <v>106</v>
      </c>
      <c r="H12" s="109"/>
      <c r="I12" s="109"/>
      <c r="J12" s="109"/>
      <c r="K12" s="112"/>
      <c r="L12" s="111"/>
      <c r="M12" s="109"/>
      <c r="N12" s="109"/>
      <c r="O12" s="113"/>
    </row>
    <row r="13" ht="12.2" customHeight="1" spans="1:15" x14ac:dyDescent="0.25">
      <c r="A13" s="95" t="s">
        <v>107</v>
      </c>
      <c r="B13" s="96"/>
      <c r="C13" s="96"/>
      <c r="D13" s="104" t="s">
        <v>108</v>
      </c>
      <c r="E13" s="103"/>
      <c r="F13" s="103"/>
      <c r="G13" s="114" t="s">
        <v>109</v>
      </c>
      <c r="H13" s="96"/>
      <c r="I13" s="96"/>
      <c r="J13" s="96"/>
      <c r="K13" s="115"/>
      <c r="L13" s="114" t="s">
        <v>110</v>
      </c>
      <c r="M13" s="115"/>
      <c r="N13" s="96" t="s">
        <v>111</v>
      </c>
      <c r="O13" s="101"/>
    </row>
    <row r="14" ht="15" customHeight="1" spans="1:15" x14ac:dyDescent="0.25">
      <c r="A14" s="117" t="str">
        <f>'Sales Contract'!E3</f>
        <v>HKG26-024-B5&amp;005-B4</v>
      </c>
      <c r="B14" s="118"/>
      <c r="C14" s="96"/>
      <c r="D14" s="119"/>
      <c r="E14" s="96"/>
      <c r="F14" s="96"/>
      <c r="G14" s="120"/>
      <c r="H14" s="96"/>
      <c r="I14" s="96"/>
      <c r="J14" s="96"/>
      <c r="K14" s="115"/>
      <c r="L14" s="121"/>
      <c r="M14" s="115"/>
      <c r="N14" s="96"/>
      <c r="O14" s="101"/>
    </row>
    <row r="15" ht="12.2" customHeight="1" spans="1:15" x14ac:dyDescent="0.25">
      <c r="A15" s="102" t="s">
        <v>112</v>
      </c>
      <c r="B15" s="103"/>
      <c r="C15" s="103"/>
      <c r="D15" s="104" t="s">
        <v>113</v>
      </c>
      <c r="E15" s="105" t="s">
        <v>114</v>
      </c>
      <c r="F15" s="103"/>
      <c r="G15" s="105" t="s">
        <v>115</v>
      </c>
      <c r="H15" s="103"/>
      <c r="I15" s="106"/>
      <c r="J15" s="105" t="s">
        <v>116</v>
      </c>
      <c r="K15" s="106"/>
      <c r="L15" s="106" t="s">
        <v>117</v>
      </c>
      <c r="M15" s="105" t="s">
        <v>118</v>
      </c>
      <c r="N15" s="106"/>
      <c r="O15" s="107" t="s">
        <v>119</v>
      </c>
    </row>
    <row r="16" ht="15" customHeight="1" spans="1:15" x14ac:dyDescent="0.25">
      <c r="A16" s="122" t="s">
        <v>120</v>
      </c>
      <c r="B16" s="123"/>
      <c r="C16" s="123"/>
      <c r="D16" s="124">
        <f>Template_PL!D36</f>
        <v>557</v>
      </c>
      <c r="E16" s="125">
        <f>Template_PL!E36</f>
        <v>15067</v>
      </c>
      <c r="F16" s="126"/>
      <c r="G16" s="125">
        <f>Template_PL!F36</f>
        <v>14122</v>
      </c>
      <c r="H16" s="127"/>
      <c r="I16" s="128"/>
      <c r="J16" s="129" t="s">
        <v>121</v>
      </c>
      <c r="K16" s="128"/>
      <c r="L16" s="128"/>
      <c r="M16" s="129"/>
      <c r="N16" s="128"/>
      <c r="O16" s="130"/>
    </row>
    <row r="17" ht="12.2" customHeight="1" spans="1:15" x14ac:dyDescent="0.25">
      <c r="A17" s="95" t="s">
        <v>122</v>
      </c>
      <c r="B17" s="96"/>
      <c r="C17" s="97"/>
      <c r="D17" s="96"/>
      <c r="E17" s="96"/>
      <c r="F17" s="96"/>
      <c r="G17" s="96"/>
      <c r="H17" s="96"/>
      <c r="I17" s="96"/>
      <c r="J17" s="96"/>
      <c r="K17" s="96"/>
      <c r="L17" s="96"/>
      <c r="M17" s="96"/>
      <c r="N17" s="96"/>
      <c r="O17" s="101"/>
    </row>
    <row r="18" ht="9.75" customHeight="1" spans="1:15" x14ac:dyDescent="0.25">
      <c r="A18" s="131"/>
      <c r="B18" s="99"/>
      <c r="C18" s="132"/>
      <c r="D18" s="96"/>
      <c r="E18" s="96"/>
      <c r="F18" s="96"/>
      <c r="G18" s="133"/>
      <c r="H18" s="133"/>
      <c r="I18" s="133"/>
      <c r="J18" s="133"/>
      <c r="K18" s="133"/>
      <c r="L18" s="133"/>
      <c r="M18" s="133"/>
      <c r="N18" s="133"/>
      <c r="O18" s="101"/>
    </row>
    <row r="19" ht="17.45" customHeight="1" spans="1:15" x14ac:dyDescent="0.25">
      <c r="A19" s="102" t="s">
        <v>123</v>
      </c>
      <c r="B19" s="103"/>
      <c r="C19" s="134"/>
      <c r="D19" s="103"/>
      <c r="E19" s="103"/>
      <c r="F19" s="103"/>
      <c r="G19" s="103"/>
      <c r="H19" s="103"/>
      <c r="I19" s="103"/>
      <c r="J19" s="103"/>
      <c r="K19" s="103"/>
      <c r="L19" s="103"/>
      <c r="M19" s="103"/>
      <c r="N19" s="103"/>
      <c r="O19" s="107"/>
    </row>
    <row r="20" ht="29" customHeight="1" spans="1:15" x14ac:dyDescent="0.25">
      <c r="A20" s="108"/>
      <c r="B20" s="109"/>
      <c r="C20" s="135"/>
      <c r="D20" s="109"/>
      <c r="E20" s="109"/>
      <c r="F20" s="109"/>
      <c r="G20" s="109"/>
      <c r="H20" s="109"/>
      <c r="I20" s="109"/>
      <c r="J20" s="109"/>
      <c r="K20" s="109"/>
      <c r="L20" s="136"/>
      <c r="M20" s="136"/>
      <c r="N20" s="109"/>
      <c r="O20" s="113"/>
    </row>
    <row r="21" ht="29" customHeight="1" spans="1:16" x14ac:dyDescent="0.25">
      <c r="A21" s="102" t="s">
        <v>124</v>
      </c>
      <c r="B21" s="103" t="s">
        <v>125</v>
      </c>
      <c r="C21" s="134" t="s">
        <v>126</v>
      </c>
      <c r="D21" s="103"/>
      <c r="E21" s="103" t="s">
        <v>127</v>
      </c>
      <c r="F21" s="103"/>
      <c r="G21" s="103" t="s">
        <v>115</v>
      </c>
      <c r="H21" s="103"/>
      <c r="I21" s="103" t="s">
        <v>128</v>
      </c>
      <c r="J21" s="137"/>
      <c r="K21" s="103"/>
      <c r="L21" s="138" t="s">
        <v>129</v>
      </c>
      <c r="M21" s="138" t="s">
        <v>130</v>
      </c>
      <c r="N21" s="103" t="s">
        <v>131</v>
      </c>
      <c r="O21" s="107" t="s">
        <v>132</v>
      </c>
      <c r="P21" s="139"/>
    </row>
    <row r="22" ht="15" customHeight="1" spans="1:16" s="140" customFormat="1" x14ac:dyDescent="0.25">
      <c r="A22" s="141">
        <v>1</v>
      </c>
      <c r="B22" s="142"/>
      <c r="C22" s="143"/>
      <c r="D22" s="144"/>
      <c r="E22" s="142">
        <f>'Sales Contract'!C20</f>
        <v>40</v>
      </c>
      <c r="F22" s="143"/>
      <c r="G22" s="142">
        <f>Template_PL!F20</f>
        <v>280</v>
      </c>
      <c r="H22" s="145" t="s">
        <v>133</v>
      </c>
      <c r="I22" s="146">
        <f>'Sales Contract'!E20</f>
        <v>132.73</v>
      </c>
      <c r="J22" s="146">
        <f>I22*E22</f>
        <v>5309.2</v>
      </c>
      <c r="K22" s="147" t="s">
        <v>134</v>
      </c>
      <c r="L22" s="148"/>
      <c r="M22" s="148"/>
      <c r="N22" s="149"/>
      <c r="O22" s="150"/>
      <c r="P22" s="139"/>
    </row>
    <row r="23" ht="15" customHeight="1" spans="1:16" s="140" customFormat="1" x14ac:dyDescent="0.25">
      <c r="A23" s="141">
        <v>2</v>
      </c>
      <c r="B23" s="142"/>
      <c r="C23" s="143"/>
      <c r="D23" s="144"/>
      <c r="E23" s="142">
        <f>'Sales Contract'!C21</f>
        <v>10</v>
      </c>
      <c r="F23" s="143"/>
      <c r="G23" s="142">
        <f>Template_PL!F21</f>
        <v>300</v>
      </c>
      <c r="H23" s="145" t="s">
        <v>133</v>
      </c>
      <c r="I23" s="146">
        <f>'Sales Contract'!E21</f>
        <v>295.56</v>
      </c>
      <c r="J23" s="146">
        <f t="shared" ref="J23:J31" si="0">I23*E23</f>
        <v>2955.6</v>
      </c>
      <c r="K23" s="147" t="s">
        <v>134</v>
      </c>
      <c r="L23" s="148"/>
      <c r="M23" s="148"/>
      <c r="N23" s="149"/>
      <c r="O23" s="150"/>
      <c r="P23" s="139"/>
    </row>
    <row r="24" ht="15" customHeight="1" spans="1:16" s="140" customFormat="1" x14ac:dyDescent="0.25">
      <c r="A24" s="141">
        <v>3</v>
      </c>
      <c r="B24" s="142"/>
      <c r="C24" s="151"/>
      <c r="D24" s="144"/>
      <c r="E24" s="142">
        <f>'Sales Contract'!C22</f>
        <v>80</v>
      </c>
      <c r="F24" s="143"/>
      <c r="G24" s="142">
        <f>Template_PL!F22</f>
        <v>800</v>
      </c>
      <c r="H24" s="145" t="s">
        <v>133</v>
      </c>
      <c r="I24" s="146">
        <f>'Sales Contract'!E22</f>
        <v>282.37</v>
      </c>
      <c r="J24" s="146">
        <f t="shared" si="0"/>
        <v>22589.6</v>
      </c>
      <c r="K24" s="147" t="s">
        <v>134</v>
      </c>
      <c r="L24" s="148"/>
      <c r="M24" s="148"/>
      <c r="N24" s="149"/>
      <c r="O24" s="150"/>
      <c r="P24" s="139"/>
    </row>
    <row r="25" ht="15" customHeight="1" spans="1:16" s="140" customFormat="1" x14ac:dyDescent="0.25">
      <c r="A25" s="141">
        <v>4</v>
      </c>
      <c r="B25" s="142"/>
      <c r="C25" s="143"/>
      <c r="D25" s="144"/>
      <c r="E25" s="142">
        <f>'Sales Contract'!C23</f>
        <v>30</v>
      </c>
      <c r="F25" s="143"/>
      <c r="G25" s="142">
        <f>Template_PL!F23</f>
        <v>1710</v>
      </c>
      <c r="H25" s="145" t="s">
        <v>133</v>
      </c>
      <c r="I25" s="146">
        <f>'Sales Contract'!E23</f>
        <v>320.25</v>
      </c>
      <c r="J25" s="146">
        <f t="shared" si="0"/>
        <v>9607.5</v>
      </c>
      <c r="K25" s="147" t="s">
        <v>134</v>
      </c>
      <c r="L25" s="148"/>
      <c r="M25" s="148"/>
      <c r="N25" s="149"/>
      <c r="O25" s="150"/>
      <c r="P25" s="139"/>
    </row>
    <row r="26" ht="15" customHeight="1" spans="1:16" s="140" customFormat="1" x14ac:dyDescent="0.25">
      <c r="A26" s="141">
        <v>5</v>
      </c>
      <c r="B26" s="152"/>
      <c r="C26" s="153"/>
      <c r="D26" s="154"/>
      <c r="E26" s="142">
        <f>'Sales Contract'!C24</f>
        <v>9</v>
      </c>
      <c r="F26" s="143"/>
      <c r="G26" s="142">
        <f>Template_PL!F24</f>
        <v>738</v>
      </c>
      <c r="H26" s="145" t="s">
        <v>133</v>
      </c>
      <c r="I26" s="146">
        <f>'Sales Contract'!E24</f>
        <v>634.07</v>
      </c>
      <c r="J26" s="146">
        <f t="shared" si="0"/>
        <v>5706.63</v>
      </c>
      <c r="K26" s="147" t="s">
        <v>134</v>
      </c>
      <c r="L26" s="148"/>
      <c r="M26" s="148"/>
      <c r="N26" s="149"/>
      <c r="O26" s="150"/>
      <c r="P26" s="139"/>
    </row>
    <row r="27" ht="15" customHeight="1" spans="1:16" s="140" customFormat="1" x14ac:dyDescent="0.25">
      <c r="A27" s="141">
        <v>6</v>
      </c>
      <c r="B27" s="152"/>
      <c r="C27" s="153"/>
      <c r="D27" s="154"/>
      <c r="E27" s="142">
        <f>'Sales Contract'!C25</f>
        <v>30</v>
      </c>
      <c r="F27" s="143"/>
      <c r="G27" s="142">
        <f>Template_PL!F25</f>
        <v>1398</v>
      </c>
      <c r="H27" s="145" t="s">
        <v>133</v>
      </c>
      <c r="I27" s="146">
        <f>'Sales Contract'!E25</f>
        <v>607.01</v>
      </c>
      <c r="J27" s="146">
        <f t="shared" si="0"/>
        <v>18210.3</v>
      </c>
      <c r="K27" s="147" t="s">
        <v>134</v>
      </c>
      <c r="L27" s="148"/>
      <c r="M27" s="148"/>
      <c r="N27" s="149"/>
      <c r="O27" s="150"/>
      <c r="P27" s="139"/>
    </row>
    <row r="28" ht="15" customHeight="1" spans="1:16" s="140" customFormat="1" x14ac:dyDescent="0.25">
      <c r="A28" s="141">
        <v>7</v>
      </c>
      <c r="B28" s="152"/>
      <c r="C28" s="153"/>
      <c r="D28" s="154"/>
      <c r="E28" s="142">
        <f>'Sales Contract'!C26</f>
        <v>100</v>
      </c>
      <c r="F28" s="143"/>
      <c r="G28" s="142">
        <f>Template_PL!F26</f>
        <v>1800</v>
      </c>
      <c r="H28" s="145" t="s">
        <v>133</v>
      </c>
      <c r="I28" s="146">
        <f>'Sales Contract'!E26</f>
        <v>124.95</v>
      </c>
      <c r="J28" s="146">
        <f t="shared" si="0"/>
        <v>12495</v>
      </c>
      <c r="K28" s="147" t="s">
        <v>134</v>
      </c>
      <c r="L28" s="148"/>
      <c r="M28" s="148"/>
      <c r="N28" s="149"/>
      <c r="O28" s="150"/>
      <c r="P28" s="139"/>
    </row>
    <row r="29" ht="15" customHeight="1" spans="1:16" s="140" customFormat="1" x14ac:dyDescent="0.25">
      <c r="A29" s="141">
        <v>8</v>
      </c>
      <c r="B29" s="152"/>
      <c r="C29" s="154"/>
      <c r="D29" s="154"/>
      <c r="E29" s="142">
        <f>'Sales Contract'!C27</f>
        <v>50</v>
      </c>
      <c r="F29" s="143"/>
      <c r="G29" s="142">
        <f>Template_PL!F27</f>
        <v>6550</v>
      </c>
      <c r="H29" s="145" t="s">
        <v>133</v>
      </c>
      <c r="I29" s="146">
        <f>'Sales Contract'!E27</f>
        <v>449.77</v>
      </c>
      <c r="J29" s="146">
        <f t="shared" si="0"/>
        <v>22488.5</v>
      </c>
      <c r="K29" s="147" t="s">
        <v>134</v>
      </c>
      <c r="L29" s="148"/>
      <c r="M29" s="148"/>
      <c r="N29" s="149"/>
      <c r="O29" s="155"/>
      <c r="P29" s="139"/>
    </row>
    <row r="30" ht="15" customHeight="1" spans="1:16" s="140" customFormat="1" x14ac:dyDescent="0.25">
      <c r="A30" s="141">
        <v>9</v>
      </c>
      <c r="B30" s="152"/>
      <c r="C30" s="154"/>
      <c r="D30" s="154"/>
      <c r="E30" s="142">
        <f>'Sales Contract'!C28</f>
        <v>23</v>
      </c>
      <c r="F30" s="143"/>
      <c r="G30" s="142">
        <f>Template_PL!F28</f>
        <v>506</v>
      </c>
      <c r="H30" s="145" t="s">
        <v>133</v>
      </c>
      <c r="I30" s="146">
        <f>'Sales Contract'!E28</f>
        <v>155.03</v>
      </c>
      <c r="J30" s="146">
        <f t="shared" si="0"/>
        <v>3565.69</v>
      </c>
      <c r="K30" s="147" t="s">
        <v>134</v>
      </c>
      <c r="L30" s="148"/>
      <c r="M30" s="148"/>
      <c r="N30" s="149"/>
      <c r="O30" s="155"/>
      <c r="P30" s="139"/>
    </row>
    <row r="31" ht="15" customHeight="1" spans="1:16" s="140" customFormat="1" x14ac:dyDescent="0.25">
      <c r="A31" s="141">
        <v>10</v>
      </c>
      <c r="B31" s="152"/>
      <c r="C31" s="156"/>
      <c r="D31" s="154"/>
      <c r="E31" s="142">
        <f>'Sales Contract'!C29</f>
        <v>40</v>
      </c>
      <c r="F31" s="157"/>
      <c r="G31" s="142">
        <f>Template_PL!F29</f>
        <v>40</v>
      </c>
      <c r="H31" s="145" t="s">
        <v>133</v>
      </c>
      <c r="I31" s="146">
        <f>'Sales Contract'!E29</f>
        <v>14.99</v>
      </c>
      <c r="J31" s="146">
        <f t="shared" si="0"/>
        <v>599.6</v>
      </c>
      <c r="K31" s="147" t="s">
        <v>134</v>
      </c>
      <c r="L31" s="148"/>
      <c r="M31" s="148"/>
      <c r="N31" s="149"/>
      <c r="O31" s="155"/>
      <c r="P31" s="139"/>
    </row>
    <row r="32" ht="15" customHeight="1" spans="1:16" s="140" customFormat="1" x14ac:dyDescent="0.25">
      <c r="A32" s="157"/>
      <c r="B32" s="158"/>
      <c r="C32" s="154"/>
      <c r="D32" s="154"/>
      <c r="E32" s="157"/>
      <c r="F32" s="157"/>
      <c r="G32" s="157"/>
      <c r="H32" s="145"/>
      <c r="I32" s="159"/>
      <c r="J32" s="159"/>
      <c r="K32" s="147"/>
      <c r="L32" s="160"/>
      <c r="M32" s="160"/>
      <c r="N32" s="161"/>
      <c r="O32" s="155"/>
      <c r="P32" s="139"/>
    </row>
    <row r="33" ht="15" customHeight="1" spans="1:16" s="140" customFormat="1" x14ac:dyDescent="0.25">
      <c r="A33" s="157"/>
      <c r="B33" s="158"/>
      <c r="C33" s="154"/>
      <c r="D33" s="154"/>
      <c r="E33" s="157"/>
      <c r="F33" s="157"/>
      <c r="G33" s="157"/>
      <c r="H33" s="145"/>
      <c r="I33" s="159"/>
      <c r="J33" s="159"/>
      <c r="K33" s="147"/>
      <c r="L33" s="160"/>
      <c r="M33" s="160"/>
      <c r="N33" s="161"/>
      <c r="O33" s="155"/>
      <c r="P33" s="139"/>
    </row>
    <row r="34" ht="15" customHeight="1" spans="1:16" s="140" customFormat="1" x14ac:dyDescent="0.25">
      <c r="A34" s="157"/>
      <c r="B34" s="158"/>
      <c r="C34" s="154"/>
      <c r="D34" s="154"/>
      <c r="E34" s="157"/>
      <c r="F34" s="157"/>
      <c r="G34" s="157"/>
      <c r="H34" s="145"/>
      <c r="I34" s="159"/>
      <c r="J34" s="159"/>
      <c r="K34" s="147"/>
      <c r="L34" s="160"/>
      <c r="M34" s="160"/>
      <c r="N34" s="161"/>
      <c r="O34" s="155"/>
      <c r="P34" s="139"/>
    </row>
    <row r="35" ht="15" customHeight="1" spans="1:16" s="140" customFormat="1" x14ac:dyDescent="0.25">
      <c r="A35" s="157"/>
      <c r="B35" s="158"/>
      <c r="C35" s="154"/>
      <c r="D35" s="154"/>
      <c r="E35" s="157"/>
      <c r="F35" s="157"/>
      <c r="G35" s="157"/>
      <c r="H35" s="145"/>
      <c r="I35" s="159"/>
      <c r="J35" s="159"/>
      <c r="K35" s="147"/>
      <c r="L35" s="160"/>
      <c r="M35" s="160"/>
      <c r="N35" s="161"/>
      <c r="O35" s="155"/>
      <c r="P35" s="139"/>
    </row>
    <row r="36" ht="15" customHeight="1" spans="1:16" s="140" customFormat="1" x14ac:dyDescent="0.25">
      <c r="A36" s="157"/>
      <c r="B36" s="158"/>
      <c r="C36" s="154"/>
      <c r="D36" s="154"/>
      <c r="E36" s="157"/>
      <c r="F36" s="157"/>
      <c r="G36" s="157"/>
      <c r="H36" s="145"/>
      <c r="I36" s="159"/>
      <c r="J36" s="159"/>
      <c r="K36" s="147"/>
      <c r="L36" s="160"/>
      <c r="M36" s="160"/>
      <c r="N36" s="161"/>
      <c r="O36" s="155"/>
      <c r="P36" s="139"/>
    </row>
    <row r="37" ht="15" customHeight="1" spans="1:16" s="140" customFormat="1" x14ac:dyDescent="0.25">
      <c r="A37" s="157"/>
      <c r="B37" s="158"/>
      <c r="C37" s="154"/>
      <c r="D37" s="154"/>
      <c r="E37" s="157"/>
      <c r="F37" s="157"/>
      <c r="G37" s="157"/>
      <c r="H37" s="145"/>
      <c r="I37" s="159"/>
      <c r="J37" s="159"/>
      <c r="K37" s="147"/>
      <c r="L37" s="160"/>
      <c r="M37" s="160"/>
      <c r="N37" s="161"/>
      <c r="O37" s="155"/>
      <c r="P37" s="139"/>
    </row>
    <row r="38" ht="15" customHeight="1" spans="1:16" s="140" customFormat="1" x14ac:dyDescent="0.25">
      <c r="A38" s="162"/>
      <c r="B38" s="163"/>
      <c r="C38" s="164"/>
      <c r="D38" s="164"/>
      <c r="E38" s="165"/>
      <c r="F38" s="165"/>
      <c r="G38" s="165"/>
      <c r="H38" s="166"/>
      <c r="I38" s="167"/>
      <c r="J38" s="167"/>
      <c r="K38" s="168"/>
      <c r="L38" s="169"/>
      <c r="M38" s="169"/>
      <c r="N38" s="170"/>
      <c r="O38" s="171"/>
      <c r="P38" s="139"/>
    </row>
    <row r="39" ht="15" customHeight="1" spans="1:16" s="140" customFormat="1" x14ac:dyDescent="0.25">
      <c r="A39" s="172"/>
      <c r="B39" s="173"/>
      <c r="C39" s="174"/>
      <c r="D39" s="174"/>
      <c r="E39" s="175"/>
      <c r="F39" s="175"/>
      <c r="G39" s="176">
        <f>SUM(G22:G38)</f>
        <v>14122</v>
      </c>
      <c r="H39" s="177"/>
      <c r="I39" s="176"/>
      <c r="J39" s="176">
        <f>SUM(J22:J38)</f>
        <v>103527.62</v>
      </c>
      <c r="K39" s="178"/>
      <c r="L39" s="179"/>
      <c r="M39" s="179"/>
      <c r="N39" s="180"/>
      <c r="O39" s="181"/>
      <c r="P39" s="139"/>
    </row>
    <row r="40" ht="30" customHeight="1" spans="1:15" x14ac:dyDescent="0.25">
      <c r="A40" s="182" t="s">
        <v>135</v>
      </c>
      <c r="B40" s="183"/>
      <c r="C40" s="184" t="s">
        <v>136</v>
      </c>
      <c r="D40" s="185" t="s">
        <v>137</v>
      </c>
      <c r="E40" s="185"/>
      <c r="F40" s="185"/>
      <c r="G40" s="186"/>
      <c r="H40" s="186"/>
      <c r="I40" s="186"/>
      <c r="J40" s="186"/>
      <c r="K40" s="187"/>
      <c r="L40" s="188" t="s">
        <v>138</v>
      </c>
      <c r="M40" s="188"/>
      <c r="N40" s="188"/>
      <c r="O40" s="189"/>
    </row>
    <row r="41" ht="13.7" customHeight="1" spans="1:15" x14ac:dyDescent="0.25">
      <c r="A41" s="108"/>
      <c r="B41" s="109"/>
      <c r="C41" s="135"/>
      <c r="D41" s="190"/>
      <c r="E41" s="190"/>
      <c r="F41" s="190"/>
      <c r="G41" s="109"/>
      <c r="H41" s="109"/>
      <c r="I41" s="109"/>
      <c r="J41" s="109"/>
      <c r="K41" s="112"/>
      <c r="L41" s="109"/>
      <c r="M41" s="109"/>
      <c r="N41" s="109"/>
      <c r="O41" s="113"/>
    </row>
    <row r="42" ht="18.75" customHeight="1" spans="1:15" x14ac:dyDescent="0.25">
      <c r="A42" s="108" t="s">
        <v>139</v>
      </c>
      <c r="B42" s="109"/>
      <c r="C42" s="135"/>
      <c r="D42" s="109" t="s">
        <v>140</v>
      </c>
      <c r="E42" s="109"/>
      <c r="F42" s="109"/>
      <c r="G42" s="109"/>
      <c r="H42" s="109"/>
      <c r="I42" s="109"/>
      <c r="J42" s="109"/>
      <c r="K42" s="112"/>
      <c r="L42" s="109"/>
      <c r="M42" s="109"/>
      <c r="N42" s="109"/>
      <c r="O42" s="113"/>
    </row>
    <row r="43" ht="93" customHeight="1" x14ac:dyDescent="0.25"/>
    <row r="44" ht="21" customHeight="1" spans="1:16" s="191" customFormat="1" x14ac:dyDescent="0.25">
      <c r="A44" s="192"/>
      <c r="B44" s="193"/>
      <c r="C44" s="194" t="s">
        <v>141</v>
      </c>
      <c r="D44" s="195" t="s">
        <v>142</v>
      </c>
      <c r="E44" s="195"/>
      <c r="F44" s="195"/>
      <c r="G44" s="195"/>
      <c r="H44" s="195"/>
      <c r="I44" s="195"/>
      <c r="J44" s="195"/>
      <c r="K44" s="195"/>
      <c r="L44" s="195"/>
      <c r="M44" s="195"/>
      <c r="N44" s="195"/>
      <c r="O44" s="195"/>
      <c r="P44" s="196"/>
    </row>
    <row r="45" ht="100" customHeight="1" spans="1:16" s="191" customFormat="1" x14ac:dyDescent="0.25">
      <c r="A45" s="192">
        <v>1</v>
      </c>
      <c r="B45" s="197"/>
      <c r="C45" s="198"/>
      <c r="D45" s="199"/>
      <c r="E45" s="199"/>
      <c r="F45" s="199"/>
      <c r="G45" s="199"/>
      <c r="H45" s="199"/>
      <c r="I45" s="199"/>
      <c r="J45" s="199"/>
      <c r="K45" s="199"/>
      <c r="L45" s="199"/>
      <c r="M45" s="199"/>
      <c r="N45" s="199"/>
      <c r="O45" s="199"/>
      <c r="P45" s="196"/>
    </row>
    <row r="46" ht="100" customHeight="1" spans="1:16" s="191" customFormat="1" x14ac:dyDescent="0.25">
      <c r="A46" s="192">
        <v>2</v>
      </c>
      <c r="B46" s="197"/>
      <c r="C46" s="198"/>
      <c r="D46" s="199"/>
      <c r="E46" s="195"/>
      <c r="F46" s="195"/>
      <c r="G46" s="195"/>
      <c r="H46" s="195"/>
      <c r="I46" s="195"/>
      <c r="J46" s="195"/>
      <c r="K46" s="195"/>
      <c r="L46" s="195"/>
      <c r="M46" s="195"/>
      <c r="N46" s="195"/>
      <c r="O46" s="195"/>
      <c r="P46" s="196"/>
    </row>
    <row r="47" ht="100" customHeight="1" spans="1:16" s="191" customFormat="1" x14ac:dyDescent="0.25">
      <c r="A47" s="192">
        <v>3</v>
      </c>
      <c r="B47" s="197"/>
      <c r="C47" s="200"/>
      <c r="D47" s="199"/>
      <c r="E47" s="195"/>
      <c r="F47" s="195"/>
      <c r="G47" s="195"/>
      <c r="H47" s="195"/>
      <c r="I47" s="195"/>
      <c r="J47" s="195"/>
      <c r="K47" s="195"/>
      <c r="L47" s="195"/>
      <c r="M47" s="195"/>
      <c r="N47" s="195"/>
      <c r="O47" s="195"/>
      <c r="P47" s="196"/>
    </row>
    <row r="48" ht="100" customHeight="1" spans="1:15" x14ac:dyDescent="0.25">
      <c r="A48" s="192">
        <v>4</v>
      </c>
      <c r="B48" s="197"/>
      <c r="C48" s="198"/>
      <c r="D48" s="199"/>
      <c r="E48" s="199"/>
      <c r="F48" s="199"/>
      <c r="G48" s="199"/>
      <c r="H48" s="199"/>
      <c r="I48" s="199"/>
      <c r="J48" s="199"/>
      <c r="K48" s="199"/>
      <c r="L48" s="199"/>
      <c r="M48" s="199"/>
      <c r="N48" s="199"/>
      <c r="O48" s="199"/>
    </row>
    <row r="49" ht="100" customHeight="1" spans="1:15" x14ac:dyDescent="0.25">
      <c r="A49" s="192">
        <v>5</v>
      </c>
      <c r="B49" s="197"/>
      <c r="C49" s="198"/>
      <c r="D49" s="199"/>
      <c r="E49" s="199"/>
      <c r="F49" s="199"/>
      <c r="G49" s="199"/>
      <c r="H49" s="199"/>
      <c r="I49" s="199"/>
      <c r="J49" s="199"/>
      <c r="K49" s="199"/>
      <c r="L49" s="199"/>
      <c r="M49" s="199"/>
      <c r="N49" s="199"/>
      <c r="O49" s="199"/>
    </row>
    <row r="50" ht="100" customHeight="1" spans="1:15" x14ac:dyDescent="0.25">
      <c r="A50" s="192">
        <v>6</v>
      </c>
      <c r="B50" s="197"/>
      <c r="C50" s="194"/>
      <c r="D50" s="199"/>
      <c r="E50" s="199"/>
      <c r="F50" s="199"/>
      <c r="G50" s="199"/>
      <c r="H50" s="199"/>
      <c r="I50" s="199"/>
      <c r="J50" s="199"/>
      <c r="K50" s="199"/>
      <c r="L50" s="199"/>
      <c r="M50" s="199"/>
      <c r="N50" s="199"/>
      <c r="O50" s="199"/>
    </row>
    <row r="51" ht="100" customHeight="1" spans="1:15" x14ac:dyDescent="0.25">
      <c r="A51" s="192">
        <v>7</v>
      </c>
      <c r="B51" s="197"/>
      <c r="C51" s="194"/>
      <c r="D51" s="199"/>
      <c r="E51" s="199"/>
      <c r="F51" s="199"/>
      <c r="G51" s="199"/>
      <c r="H51" s="199"/>
      <c r="I51" s="199"/>
      <c r="J51" s="199"/>
      <c r="K51" s="199"/>
      <c r="L51" s="199"/>
      <c r="M51" s="199"/>
      <c r="N51" s="199"/>
      <c r="O51" s="199"/>
    </row>
    <row r="52" ht="100" customHeight="1" spans="1:15" x14ac:dyDescent="0.25">
      <c r="A52" s="192">
        <v>8</v>
      </c>
      <c r="B52" s="197"/>
      <c r="C52" s="194"/>
      <c r="D52" s="199"/>
      <c r="E52" s="199"/>
      <c r="F52" s="199"/>
      <c r="G52" s="199"/>
      <c r="H52" s="199"/>
      <c r="I52" s="199"/>
      <c r="J52" s="199"/>
      <c r="K52" s="199"/>
      <c r="L52" s="199"/>
      <c r="M52" s="199"/>
      <c r="N52" s="199"/>
      <c r="O52" s="199"/>
    </row>
    <row r="53" ht="100" customHeight="1" spans="1:15" x14ac:dyDescent="0.25">
      <c r="A53" s="192">
        <v>9</v>
      </c>
      <c r="B53" s="197"/>
      <c r="C53" s="194"/>
      <c r="D53" s="199"/>
      <c r="E53" s="195"/>
      <c r="F53" s="195"/>
      <c r="G53" s="195"/>
      <c r="H53" s="195"/>
      <c r="I53" s="195"/>
      <c r="J53" s="195"/>
      <c r="K53" s="195"/>
      <c r="L53" s="195"/>
      <c r="M53" s="195"/>
      <c r="N53" s="195"/>
      <c r="O53" s="195"/>
    </row>
    <row r="54" ht="100" customHeight="1" spans="1:15" x14ac:dyDescent="0.25">
      <c r="A54" s="192">
        <v>10</v>
      </c>
      <c r="B54" s="197"/>
      <c r="C54" s="194"/>
      <c r="D54" s="199"/>
      <c r="E54" s="195"/>
      <c r="F54" s="195"/>
      <c r="G54" s="195"/>
      <c r="H54" s="195"/>
      <c r="I54" s="195"/>
      <c r="J54" s="195"/>
      <c r="K54" s="195"/>
      <c r="L54" s="195"/>
      <c r="M54" s="195"/>
      <c r="N54" s="195"/>
      <c r="O54" s="195"/>
    </row>
  </sheetData>
  <autoFilter ref="A19:P31"/>
  <mergeCells count="12">
    <mergeCell ref="D40:F40"/>
    <mergeCell ref="D44:O44"/>
    <mergeCell ref="D45:O45"/>
    <mergeCell ref="D46:O46"/>
    <mergeCell ref="D47:O47"/>
    <mergeCell ref="D48:O48"/>
    <mergeCell ref="D49:O49"/>
    <mergeCell ref="D50:O50"/>
    <mergeCell ref="D51:O51"/>
    <mergeCell ref="D52:O52"/>
    <mergeCell ref="D53:O53"/>
    <mergeCell ref="D54:O54"/>
  </mergeCells>
  <pageMargins left="0.25" right="0.25" top="0.75" bottom="0.75" header="0.298611111111111" footer="0.298611111111111"/>
  <pageSetup paperSize="9" orientation="landscape" horizontalDpi="4294967295" verticalDpi="4294967295" scale="100" fitToWidth="1" fitToHeight="1"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 Contract</vt:lpstr>
      <vt:lpstr>Template_CI</vt:lpstr>
      <vt:lpstr>Template_PL</vt:lpstr>
      <vt:lpstr>报关单及申报要素</vt:lpstr>
    </vt:vector>
  </TitlesOfParts>
  <Company>Vertex42 LLC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Vertex42.com</dc:creator>
  <dc:title>Price Quote Template</dc:title>
  <dc:description>(c) 2010-2014 Vertex42 LLC. All Rights Reserved.</dc:description>
  <cp:lastModifiedBy>Lynne</cp:lastModifiedBy>
  <dcterms:created xsi:type="dcterms:W3CDTF">2004-08-16T18:44:00Z</dcterms:created>
  <dcterms:modified xsi:type="dcterms:W3CDTF">2026-07-15T03:53:57Z</dcterms:modified>
</cp:coreProperties>
</file>